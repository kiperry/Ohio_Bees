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hio_Bees\Analysiswithoutseasonalbeestest\"/>
    </mc:Choice>
  </mc:AlternateContent>
  <xr:revisionPtr revIDLastSave="0" documentId="13_ncr:1_{EE72C0E1-4823-4127-8E72-3C0294009685}" xr6:coauthVersionLast="47" xr6:coauthVersionMax="47" xr10:uidLastSave="{00000000-0000-0000-0000-000000000000}"/>
  <bookViews>
    <workbookView xWindow="28680" yWindow="960" windowWidth="29040" windowHeight="15720" xr2:uid="{55255B77-9CBD-4AA0-BB69-AD33AAB10649}"/>
  </bookViews>
  <sheets>
    <sheet name="Sheet1" sheetId="1" r:id="rId1"/>
  </sheets>
  <definedNames>
    <definedName name="_xlnm._FilterDatabase" localSheetId="0" hidden="1">Sheet1!$A$1:$K$508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2" i="1"/>
  <c r="P3" i="1"/>
  <c r="P4" i="1"/>
  <c r="P5" i="1"/>
  <c r="P6" i="1"/>
  <c r="P7" i="1"/>
  <c r="P8" i="1"/>
  <c r="P9" i="1"/>
  <c r="P10" i="1"/>
  <c r="P11" i="1"/>
  <c r="P353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504" i="1"/>
  <c r="P505" i="1"/>
  <c r="P506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326" i="1"/>
  <c r="P327" i="1"/>
  <c r="P328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2" i="1"/>
  <c r="B443" i="1"/>
  <c r="B444" i="1"/>
  <c r="B445" i="1"/>
  <c r="B446" i="1"/>
  <c r="B447" i="1"/>
  <c r="B448" i="1"/>
  <c r="B449" i="1"/>
  <c r="B450" i="1"/>
  <c r="B451" i="1"/>
  <c r="B453" i="1"/>
  <c r="B454" i="1"/>
  <c r="B455" i="1"/>
  <c r="B456" i="1"/>
  <c r="B457" i="1"/>
  <c r="B458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3" i="1"/>
  <c r="B505" i="1"/>
  <c r="B506" i="1"/>
  <c r="B507" i="1"/>
  <c r="B508" i="1"/>
  <c r="B264" i="1"/>
  <c r="B265" i="1"/>
  <c r="B266" i="1"/>
  <c r="B267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B254" i="1"/>
  <c r="B255" i="1"/>
  <c r="B256" i="1"/>
  <c r="B257" i="1"/>
  <c r="B258" i="1"/>
  <c r="B259" i="1"/>
  <c r="B260" i="1"/>
  <c r="B261" i="1"/>
  <c r="B262" i="1"/>
  <c r="B263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P207" i="1"/>
  <c r="P208" i="1"/>
  <c r="P209" i="1"/>
  <c r="P210" i="1"/>
  <c r="P211" i="1"/>
  <c r="B208" i="1"/>
  <c r="B209" i="1"/>
  <c r="B210" i="1"/>
  <c r="B211" i="1"/>
  <c r="B207" i="1"/>
  <c r="B189" i="1"/>
  <c r="P185" i="1"/>
  <c r="P186" i="1"/>
  <c r="B185" i="1"/>
  <c r="B146" i="1"/>
  <c r="B145" i="1"/>
  <c r="P119" i="1"/>
  <c r="P118" i="1"/>
  <c r="B119" i="1"/>
  <c r="P112" i="1"/>
  <c r="P113" i="1"/>
  <c r="P114" i="1"/>
  <c r="P115" i="1"/>
  <c r="P116" i="1"/>
  <c r="P117" i="1"/>
  <c r="B112" i="1"/>
  <c r="B113" i="1"/>
  <c r="B114" i="1"/>
  <c r="B111" i="1"/>
  <c r="P111" i="1"/>
  <c r="P110" i="1"/>
  <c r="P36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12" i="1"/>
  <c r="P213" i="1"/>
  <c r="P214" i="1"/>
  <c r="P215" i="1"/>
  <c r="P216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7" i="1"/>
  <c r="P38" i="1"/>
  <c r="P39" i="1"/>
  <c r="P40" i="1"/>
  <c r="P41" i="1"/>
  <c r="P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5" i="1"/>
  <c r="B116" i="1"/>
  <c r="B117" i="1"/>
  <c r="B118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6" i="1"/>
  <c r="B187" i="1"/>
  <c r="B188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" i="1"/>
</calcChain>
</file>

<file path=xl/sharedStrings.xml><?xml version="1.0" encoding="utf-8"?>
<sst xmlns="http://schemas.openxmlformats.org/spreadsheetml/2006/main" count="1776" uniqueCount="995">
  <si>
    <t>Eucerini</t>
  </si>
  <si>
    <t>NOMADINAE</t>
  </si>
  <si>
    <t>Ammobatoidini</t>
  </si>
  <si>
    <t>Epeolini</t>
  </si>
  <si>
    <t>Nomadini</t>
  </si>
  <si>
    <t>Osirini</t>
  </si>
  <si>
    <t>XYLOCOPINAE</t>
  </si>
  <si>
    <t>Ceratinini</t>
  </si>
  <si>
    <t>Xylocopini</t>
  </si>
  <si>
    <t>COLLETIDAE</t>
  </si>
  <si>
    <t>COLLETINAE</t>
  </si>
  <si>
    <t>HYLAEINAE</t>
  </si>
  <si>
    <t>HALICTIDAE</t>
  </si>
  <si>
    <t>HALICTINAE</t>
  </si>
  <si>
    <t>Augochlorini</t>
  </si>
  <si>
    <t>Halictini</t>
  </si>
  <si>
    <t>NOMIINAE</t>
  </si>
  <si>
    <t>ROPHITINAE</t>
  </si>
  <si>
    <t>MEGACHILIDAE</t>
  </si>
  <si>
    <t>MEGACHILINAE</t>
  </si>
  <si>
    <t>Anthidiini</t>
  </si>
  <si>
    <t>Megachilini</t>
  </si>
  <si>
    <t>melanophaea</t>
  </si>
  <si>
    <t>Osmiini</t>
  </si>
  <si>
    <t>MELITTIDAE</t>
  </si>
  <si>
    <t>ANDRENIDAE</t>
  </si>
  <si>
    <t>ANDRENINAE</t>
  </si>
  <si>
    <t>Andrenini</t>
  </si>
  <si>
    <t>Andrena</t>
  </si>
  <si>
    <t>(Andrena)</t>
  </si>
  <si>
    <t>carolina</t>
  </si>
  <si>
    <t>clarkella</t>
  </si>
  <si>
    <t>frigida</t>
  </si>
  <si>
    <t>mandibularis</t>
  </si>
  <si>
    <t>milwaukeensis</t>
  </si>
  <si>
    <t>rufosignata</t>
  </si>
  <si>
    <t>thaspii</t>
  </si>
  <si>
    <t>tridens</t>
  </si>
  <si>
    <t>aliciae</t>
  </si>
  <si>
    <t>asteris</t>
  </si>
  <si>
    <t>gardineri</t>
  </si>
  <si>
    <t>helianthi</t>
  </si>
  <si>
    <t>krigiana</t>
  </si>
  <si>
    <t>placata</t>
  </si>
  <si>
    <t>rudbeckiae</t>
  </si>
  <si>
    <t>simplex</t>
  </si>
  <si>
    <t>(Cnemidandrena)</t>
  </si>
  <si>
    <t>canadensis</t>
  </si>
  <si>
    <t>chromotricha</t>
  </si>
  <si>
    <t>hirticincta</t>
  </si>
  <si>
    <t>nubecula</t>
  </si>
  <si>
    <t>parnassiae</t>
  </si>
  <si>
    <t>peckhami</t>
  </si>
  <si>
    <t>robervalensis</t>
  </si>
  <si>
    <t>(Conandrena)</t>
  </si>
  <si>
    <t>bradleyi</t>
  </si>
  <si>
    <t>(Euandrena)</t>
  </si>
  <si>
    <t>algida</t>
  </si>
  <si>
    <t>geranii</t>
  </si>
  <si>
    <t>nigrihirta</t>
  </si>
  <si>
    <t>polemonii</t>
  </si>
  <si>
    <t>(Gonandrena)</t>
  </si>
  <si>
    <t>fragilis</t>
  </si>
  <si>
    <t>integra</t>
  </si>
  <si>
    <t>persimulata</t>
  </si>
  <si>
    <t>platyparia</t>
  </si>
  <si>
    <t>(Holandrena)</t>
  </si>
  <si>
    <t>cressonii</t>
  </si>
  <si>
    <t>(Iomelissa)</t>
  </si>
  <si>
    <t>violae</t>
  </si>
  <si>
    <t>(Larandrena)</t>
  </si>
  <si>
    <t>miserabilis</t>
  </si>
  <si>
    <t>(Leucandrena)</t>
  </si>
  <si>
    <t>barbilabris</t>
  </si>
  <si>
    <t>erythronii</t>
  </si>
  <si>
    <t>(Melandrena)</t>
  </si>
  <si>
    <t>barbara</t>
  </si>
  <si>
    <t>carlini</t>
  </si>
  <si>
    <t>Family</t>
  </si>
  <si>
    <t>Genus</t>
  </si>
  <si>
    <t>Subgenus</t>
  </si>
  <si>
    <t>Species</t>
  </si>
  <si>
    <t>PANURGINAE</t>
  </si>
  <si>
    <t>Callopsini</t>
  </si>
  <si>
    <t>Perditini</t>
  </si>
  <si>
    <t>octomaculata</t>
  </si>
  <si>
    <t>Protandrenini</t>
  </si>
  <si>
    <t>APIDAE</t>
  </si>
  <si>
    <t>APINAE</t>
  </si>
  <si>
    <t>Anthophorini</t>
  </si>
  <si>
    <t>Apini</t>
  </si>
  <si>
    <t>Bombini</t>
  </si>
  <si>
    <t>(Trachandrena)</t>
  </si>
  <si>
    <t>virginiana</t>
  </si>
  <si>
    <t>(Tylandrena)</t>
  </si>
  <si>
    <t>erythrogaster</t>
  </si>
  <si>
    <t>perplexa</t>
  </si>
  <si>
    <t>wilmattae</t>
  </si>
  <si>
    <t>(Calliopsis)</t>
  </si>
  <si>
    <t>andreniformis</t>
  </si>
  <si>
    <t>(Verbenapis)</t>
  </si>
  <si>
    <t>nebraskensis</t>
  </si>
  <si>
    <t>Perdita</t>
  </si>
  <si>
    <t>(Cockerellia)</t>
  </si>
  <si>
    <t>albipennis</t>
  </si>
  <si>
    <t>pallidipennis</t>
  </si>
  <si>
    <t>bequaerti</t>
  </si>
  <si>
    <t>indianensis</t>
  </si>
  <si>
    <t>(Perdita)</t>
  </si>
  <si>
    <t>gerhardi</t>
  </si>
  <si>
    <t>halictoides</t>
  </si>
  <si>
    <t>maculigera</t>
  </si>
  <si>
    <t>maculipennis</t>
  </si>
  <si>
    <t>swenki</t>
  </si>
  <si>
    <t>Protandrena</t>
  </si>
  <si>
    <t>bancrofti</t>
  </si>
  <si>
    <t>cockerelli</t>
  </si>
  <si>
    <t>Pseudopanurgus</t>
  </si>
  <si>
    <t>aestivalis</t>
  </si>
  <si>
    <t>albitarsis</t>
  </si>
  <si>
    <t>andrenoides</t>
  </si>
  <si>
    <t>compositarum</t>
  </si>
  <si>
    <t>labrosiformis</t>
  </si>
  <si>
    <t>rugosus</t>
  </si>
  <si>
    <t>Anthophora</t>
  </si>
  <si>
    <t>(Clisodon)</t>
  </si>
  <si>
    <t>terminalis</t>
  </si>
  <si>
    <t>(Melea)</t>
  </si>
  <si>
    <t>abrupta</t>
  </si>
  <si>
    <t>bomboides</t>
  </si>
  <si>
    <t>(Mystacanthophora)</t>
  </si>
  <si>
    <t>walshii</t>
  </si>
  <si>
    <t>Habropoda</t>
  </si>
  <si>
    <t>laboriosa</t>
  </si>
  <si>
    <t>Apis</t>
  </si>
  <si>
    <t>(Apis)</t>
  </si>
  <si>
    <t>mellifera</t>
  </si>
  <si>
    <t>Linnaeus</t>
  </si>
  <si>
    <t>Bombus</t>
  </si>
  <si>
    <t>(Bombias)</t>
  </si>
  <si>
    <t>auricomus</t>
  </si>
  <si>
    <t>(Bombus)</t>
  </si>
  <si>
    <t>affinis</t>
  </si>
  <si>
    <t>terricola</t>
  </si>
  <si>
    <t>(Cullumanobombus)</t>
  </si>
  <si>
    <t>fraternus</t>
  </si>
  <si>
    <t>commoda</t>
  </si>
  <si>
    <t>confederata</t>
  </si>
  <si>
    <t>dunningi</t>
  </si>
  <si>
    <t>hilaris</t>
  </si>
  <si>
    <t>nivalis</t>
  </si>
  <si>
    <t>pruni</t>
  </si>
  <si>
    <t>regularis</t>
  </si>
  <si>
    <t>vicina</t>
  </si>
  <si>
    <t>(Micrandrena)</t>
  </si>
  <si>
    <t>illinoiensis</t>
  </si>
  <si>
    <t>melanochroa</t>
  </si>
  <si>
    <t>neonana</t>
  </si>
  <si>
    <t>nigrae</t>
  </si>
  <si>
    <t>personata</t>
  </si>
  <si>
    <t>salictaria</t>
  </si>
  <si>
    <t>ziziae</t>
  </si>
  <si>
    <t>(Parandrena)</t>
  </si>
  <si>
    <t>wellesleyana</t>
  </si>
  <si>
    <t>(Plastandrena)</t>
  </si>
  <si>
    <t>crataegi</t>
  </si>
  <si>
    <t>(Ptilandrena)</t>
  </si>
  <si>
    <t>distans</t>
  </si>
  <si>
    <t>erigeniae</t>
  </si>
  <si>
    <t>(Rhacandrena)</t>
  </si>
  <si>
    <t>brevipalpis</t>
  </si>
  <si>
    <t>robertsonii</t>
  </si>
  <si>
    <t>(Scaphandrena)</t>
  </si>
  <si>
    <t>arabis</t>
  </si>
  <si>
    <t>(Scrapteropsis)</t>
  </si>
  <si>
    <t>alleghaniensis</t>
  </si>
  <si>
    <t>imitatrix</t>
  </si>
  <si>
    <t>morrisonella</t>
  </si>
  <si>
    <t>(Simandrena)</t>
  </si>
  <si>
    <t>nasonii</t>
  </si>
  <si>
    <t>wheeleri</t>
  </si>
  <si>
    <t>(Taeniandrena)</t>
  </si>
  <si>
    <t>wilkella</t>
  </si>
  <si>
    <t>(Thysandrena)</t>
  </si>
  <si>
    <t>bisalicis</t>
  </si>
  <si>
    <t>w-scripta</t>
  </si>
  <si>
    <t>ceanothi</t>
  </si>
  <si>
    <t>forbesii</t>
  </si>
  <si>
    <t>heraclei</t>
  </si>
  <si>
    <t>hippotes</t>
  </si>
  <si>
    <t>mariae</t>
  </si>
  <si>
    <t>miranda</t>
  </si>
  <si>
    <t>nuda</t>
  </si>
  <si>
    <t>rehni</t>
  </si>
  <si>
    <t>rugosa</t>
  </si>
  <si>
    <t>sigmundi</t>
  </si>
  <si>
    <t>spiraeana</t>
  </si>
  <si>
    <t>griseocollis</t>
  </si>
  <si>
    <t>rufocinctus</t>
  </si>
  <si>
    <t>(Psithyrus)</t>
  </si>
  <si>
    <t>ashtoni</t>
  </si>
  <si>
    <t>citrinus</t>
  </si>
  <si>
    <t>fernaldae</t>
  </si>
  <si>
    <t>insularis</t>
  </si>
  <si>
    <t>(Pyrobombus)</t>
  </si>
  <si>
    <t>bimaculatus</t>
  </si>
  <si>
    <t>frigidus</t>
  </si>
  <si>
    <t>impatiens</t>
  </si>
  <si>
    <t>perplexus</t>
  </si>
  <si>
    <t>sandersoni</t>
  </si>
  <si>
    <t>ternarius</t>
  </si>
  <si>
    <t>vagans</t>
  </si>
  <si>
    <t>(Subterraneobombus)</t>
  </si>
  <si>
    <t>borealis</t>
  </si>
  <si>
    <t>(Thoracobombus)</t>
  </si>
  <si>
    <t>fervidus</t>
  </si>
  <si>
    <t>pensylvanicus</t>
  </si>
  <si>
    <t>Eucera</t>
  </si>
  <si>
    <t>(Synhalonia)</t>
  </si>
  <si>
    <t>atriventris</t>
  </si>
  <si>
    <t>dubitata</t>
  </si>
  <si>
    <t>hamata</t>
  </si>
  <si>
    <t>Florilegus</t>
  </si>
  <si>
    <t>(Florilegus)</t>
  </si>
  <si>
    <t>condignus</t>
  </si>
  <si>
    <t>Melissodes</t>
  </si>
  <si>
    <t>(Apomelissodes)</t>
  </si>
  <si>
    <t>apicatus</t>
  </si>
  <si>
    <t>(Eumelissodes)</t>
  </si>
  <si>
    <t>agilis</t>
  </si>
  <si>
    <t>denticulatus</t>
  </si>
  <si>
    <t>dentiventris</t>
  </si>
  <si>
    <t>druriellus</t>
  </si>
  <si>
    <t>illatus</t>
  </si>
  <si>
    <t>niveus</t>
  </si>
  <si>
    <t>subillatus</t>
  </si>
  <si>
    <t>tinctus</t>
  </si>
  <si>
    <t>trinodis</t>
  </si>
  <si>
    <t>(Heliomelissodes)</t>
  </si>
  <si>
    <t>desponsus</t>
  </si>
  <si>
    <t>(Melissodes)</t>
  </si>
  <si>
    <t>communis</t>
  </si>
  <si>
    <t>commnuis</t>
  </si>
  <si>
    <t>Peponapis</t>
  </si>
  <si>
    <t>(Peponapis)</t>
  </si>
  <si>
    <t>pruinosa</t>
  </si>
  <si>
    <t>Svastra</t>
  </si>
  <si>
    <t>(Epimelissodes)</t>
  </si>
  <si>
    <t>obliqua</t>
  </si>
  <si>
    <t>Holcopasites</t>
  </si>
  <si>
    <t>calliopsidis</t>
  </si>
  <si>
    <t>Epeolus</t>
  </si>
  <si>
    <t>ainslei</t>
  </si>
  <si>
    <t>americanus</t>
  </si>
  <si>
    <t>autumnalis</t>
  </si>
  <si>
    <t>interruptus</t>
  </si>
  <si>
    <t>lectoides</t>
  </si>
  <si>
    <t>minimus</t>
  </si>
  <si>
    <t>pusillus</t>
  </si>
  <si>
    <t>scutellaris</t>
  </si>
  <si>
    <t>Triepeolus</t>
  </si>
  <si>
    <t>concavus</t>
  </si>
  <si>
    <t>donatus</t>
  </si>
  <si>
    <t>eliseae</t>
  </si>
  <si>
    <t>new</t>
  </si>
  <si>
    <t>lunatus</t>
  </si>
  <si>
    <t>michiganensis</t>
  </si>
  <si>
    <t>pectoralis</t>
  </si>
  <si>
    <t>remigatus</t>
  </si>
  <si>
    <t>Nomada</t>
  </si>
  <si>
    <t>alpha</t>
  </si>
  <si>
    <t>armatella</t>
  </si>
  <si>
    <t>articulata</t>
  </si>
  <si>
    <t>australis</t>
  </si>
  <si>
    <t>banksi</t>
  </si>
  <si>
    <t>bella</t>
  </si>
  <si>
    <t>besseyi</t>
  </si>
  <si>
    <t>bethunei</t>
  </si>
  <si>
    <t>binotata</t>
  </si>
  <si>
    <t>composita</t>
  </si>
  <si>
    <t>cuneata</t>
  </si>
  <si>
    <t>decepta</t>
  </si>
  <si>
    <t>dentariae</t>
  </si>
  <si>
    <t>denticulata</t>
  </si>
  <si>
    <t>depressa</t>
  </si>
  <si>
    <t>dreisbachi</t>
  </si>
  <si>
    <t>erigeronis</t>
  </si>
  <si>
    <t>fervida</t>
  </si>
  <si>
    <t>gracilis</t>
  </si>
  <si>
    <t>illinoensis</t>
  </si>
  <si>
    <t>imbricata</t>
  </si>
  <si>
    <t>lehighensis</t>
  </si>
  <si>
    <t>lepida</t>
  </si>
  <si>
    <t>luteoloides</t>
  </si>
  <si>
    <t>maculata</t>
  </si>
  <si>
    <t>obliterata</t>
  </si>
  <si>
    <t>ochlerata</t>
  </si>
  <si>
    <t>ovata</t>
  </si>
  <si>
    <t>parva</t>
  </si>
  <si>
    <t>placida</t>
  </si>
  <si>
    <t>pygmaea</t>
  </si>
  <si>
    <t>quadrimaculata</t>
  </si>
  <si>
    <t>rubicunda</t>
  </si>
  <si>
    <t>sayi</t>
  </si>
  <si>
    <t>sobrina</t>
  </si>
  <si>
    <t>sphaerogaster</t>
  </si>
  <si>
    <t>superba</t>
  </si>
  <si>
    <t>tiftonensis</t>
  </si>
  <si>
    <t>vegana</t>
  </si>
  <si>
    <t>vincta</t>
  </si>
  <si>
    <t>Epeoloides</t>
  </si>
  <si>
    <t>pilosulus</t>
  </si>
  <si>
    <t>Ceratina</t>
  </si>
  <si>
    <t>(Zadontomerus)</t>
  </si>
  <si>
    <t>calcarata</t>
  </si>
  <si>
    <t>dupla</t>
  </si>
  <si>
    <t>mikmaqi</t>
  </si>
  <si>
    <t>strenua</t>
  </si>
  <si>
    <t>Xylocopa</t>
  </si>
  <si>
    <t>(Xylocopoides)</t>
  </si>
  <si>
    <t>virginica</t>
  </si>
  <si>
    <t>Colletes</t>
  </si>
  <si>
    <t>aberrans</t>
  </si>
  <si>
    <t>brevicornis</t>
  </si>
  <si>
    <t>compactus</t>
  </si>
  <si>
    <t>consors</t>
  </si>
  <si>
    <t>mesocopus</t>
  </si>
  <si>
    <t>hyalinus</t>
  </si>
  <si>
    <t>impunctatus</t>
  </si>
  <si>
    <t>lacustris</t>
  </si>
  <si>
    <t>inaequalis</t>
  </si>
  <si>
    <t>kincaidii</t>
  </si>
  <si>
    <t>latitarsis</t>
  </si>
  <si>
    <t>nudus</t>
  </si>
  <si>
    <t>simulans</t>
  </si>
  <si>
    <t>armatus</t>
  </si>
  <si>
    <t>solidaginis</t>
  </si>
  <si>
    <t>thoracicus</t>
  </si>
  <si>
    <t>validus</t>
  </si>
  <si>
    <t>willistoni</t>
  </si>
  <si>
    <t>Hylaeus</t>
  </si>
  <si>
    <t>(Cephalylaeus)</t>
  </si>
  <si>
    <t>basalis</t>
  </si>
  <si>
    <t>(Hylaeus)</t>
  </si>
  <si>
    <t>annulatus</t>
  </si>
  <si>
    <t>fedorica</t>
  </si>
  <si>
    <t>leptocephalus</t>
  </si>
  <si>
    <t>mesillae</t>
  </si>
  <si>
    <t>saniculae</t>
  </si>
  <si>
    <t>verticalis</t>
  </si>
  <si>
    <t>(Metziella)</t>
  </si>
  <si>
    <t>sparsus</t>
  </si>
  <si>
    <t>(Paraprosopis)</t>
  </si>
  <si>
    <t>floridanus</t>
  </si>
  <si>
    <t>(Prosopis)</t>
  </si>
  <si>
    <t>gaigei</t>
  </si>
  <si>
    <t>illinoisensis</t>
  </si>
  <si>
    <t>modestus</t>
  </si>
  <si>
    <t>nelumbonis</t>
  </si>
  <si>
    <t>(Spatulariella)</t>
  </si>
  <si>
    <t>hyalinatus</t>
  </si>
  <si>
    <t>Augochlora</t>
  </si>
  <si>
    <t>(Augochlora)</t>
  </si>
  <si>
    <t>pura</t>
  </si>
  <si>
    <t>Augochlorella</t>
  </si>
  <si>
    <t>aurata</t>
  </si>
  <si>
    <t>persimilis</t>
  </si>
  <si>
    <t>Augochloropsis</t>
  </si>
  <si>
    <t>(Paraugochloropsis)</t>
  </si>
  <si>
    <t>metallica</t>
  </si>
  <si>
    <t>Agapostemon</t>
  </si>
  <si>
    <t>(Agapostemon)</t>
  </si>
  <si>
    <t>sericeus</t>
  </si>
  <si>
    <t>splendens</t>
  </si>
  <si>
    <t>texanus</t>
  </si>
  <si>
    <t>virescens</t>
  </si>
  <si>
    <t>Halictus</t>
  </si>
  <si>
    <t>(Nealictus)</t>
  </si>
  <si>
    <t>parallelus</t>
  </si>
  <si>
    <t>(Odontalictus)</t>
  </si>
  <si>
    <t>ligatus</t>
  </si>
  <si>
    <t>(Protohalictus)</t>
  </si>
  <si>
    <t>rubicundus</t>
  </si>
  <si>
    <t>(Seladonia)</t>
  </si>
  <si>
    <t>confusus</t>
  </si>
  <si>
    <t>Lasioglossum</t>
  </si>
  <si>
    <t>(Dialictus)</t>
  </si>
  <si>
    <t>abanci</t>
  </si>
  <si>
    <t>achilleae</t>
  </si>
  <si>
    <t>admirandum</t>
  </si>
  <si>
    <t>albipenne</t>
  </si>
  <si>
    <t>anomalum</t>
  </si>
  <si>
    <t>atwoodi</t>
  </si>
  <si>
    <t>bruneri</t>
  </si>
  <si>
    <t>callidum</t>
  </si>
  <si>
    <t>cattellae</t>
  </si>
  <si>
    <t>coeruleum</t>
  </si>
  <si>
    <t>coreopsis</t>
  </si>
  <si>
    <t>ellisiae</t>
  </si>
  <si>
    <t>ephialtum</t>
  </si>
  <si>
    <t>fattigi</t>
  </si>
  <si>
    <t>floridanum</t>
  </si>
  <si>
    <t>foveolatum</t>
  </si>
  <si>
    <t>gotham</t>
  </si>
  <si>
    <t>hartii</t>
  </si>
  <si>
    <t>hitchensi</t>
  </si>
  <si>
    <t>illinoense</t>
  </si>
  <si>
    <t>imitatum</t>
  </si>
  <si>
    <t>laevissimum</t>
  </si>
  <si>
    <t>lineatulum</t>
  </si>
  <si>
    <t>michiganense</t>
  </si>
  <si>
    <t>nigroviride</t>
  </si>
  <si>
    <t>novascotiae</t>
  </si>
  <si>
    <t>oblongum</t>
  </si>
  <si>
    <t>obscurum</t>
  </si>
  <si>
    <t>oceanicum</t>
  </si>
  <si>
    <t>paradmirandum</t>
  </si>
  <si>
    <t>perpunctatum</t>
  </si>
  <si>
    <t>pictum</t>
  </si>
  <si>
    <t>pilosum</t>
  </si>
  <si>
    <t>planatum</t>
  </si>
  <si>
    <t>platyparium</t>
  </si>
  <si>
    <t>pruinosum</t>
  </si>
  <si>
    <t>rufulipes</t>
  </si>
  <si>
    <t>sagax</t>
  </si>
  <si>
    <t>sheffieldi</t>
  </si>
  <si>
    <t>smilacinae</t>
  </si>
  <si>
    <t>subversans</t>
  </si>
  <si>
    <t>subviridatum</t>
  </si>
  <si>
    <t>taylorae</t>
  </si>
  <si>
    <t>tegulare</t>
  </si>
  <si>
    <t>tenax</t>
  </si>
  <si>
    <t>timothyi</t>
  </si>
  <si>
    <t>trigeminum</t>
  </si>
  <si>
    <t>versans</t>
  </si>
  <si>
    <t>versatum</t>
  </si>
  <si>
    <t>vierecki</t>
  </si>
  <si>
    <t>viridatum</t>
  </si>
  <si>
    <t>weemsi</t>
  </si>
  <si>
    <t>(Evylaeus)</t>
  </si>
  <si>
    <t>cinctipes</t>
  </si>
  <si>
    <t>(Hemihalictus)</t>
  </si>
  <si>
    <t>birkmanni</t>
  </si>
  <si>
    <t>fedorense</t>
  </si>
  <si>
    <t>foxii</t>
  </si>
  <si>
    <t>inconditum</t>
  </si>
  <si>
    <t>lustrans</t>
  </si>
  <si>
    <t>macoupinense</t>
  </si>
  <si>
    <t>pectorale</t>
  </si>
  <si>
    <t>(Lasioglossum)</t>
  </si>
  <si>
    <t>acuminatum</t>
  </si>
  <si>
    <t>athabascense</t>
  </si>
  <si>
    <t>coriaceum</t>
  </si>
  <si>
    <t>fuscipenne</t>
  </si>
  <si>
    <t>paraforbesii</t>
  </si>
  <si>
    <t>(Leuchalictus)</t>
  </si>
  <si>
    <t>leucozonium</t>
  </si>
  <si>
    <t>zonulum</t>
  </si>
  <si>
    <t>(Sphecodogastra)</t>
  </si>
  <si>
    <t>comagenense</t>
  </si>
  <si>
    <t>oenotherae</t>
  </si>
  <si>
    <t>quebecense</t>
  </si>
  <si>
    <t>seillean</t>
  </si>
  <si>
    <t>texanum</t>
  </si>
  <si>
    <t>truncatum</t>
  </si>
  <si>
    <t>Sphecodes</t>
  </si>
  <si>
    <t>antennariae</t>
  </si>
  <si>
    <t>aroniae</t>
  </si>
  <si>
    <t>atlantis</t>
  </si>
  <si>
    <t>banksii</t>
  </si>
  <si>
    <t>clematidis</t>
  </si>
  <si>
    <t>confertus</t>
  </si>
  <si>
    <t>coronus</t>
  </si>
  <si>
    <t>davisii</t>
  </si>
  <si>
    <t>dichrous</t>
  </si>
  <si>
    <t>johnsonii</t>
  </si>
  <si>
    <t>levis</t>
  </si>
  <si>
    <t>minor</t>
  </si>
  <si>
    <t>pimpinellae</t>
  </si>
  <si>
    <t>prosphorus</t>
  </si>
  <si>
    <t>pycnanthemi</t>
  </si>
  <si>
    <t>ranunculi</t>
  </si>
  <si>
    <t>townesi</t>
  </si>
  <si>
    <t>Dieunomia</t>
  </si>
  <si>
    <t>(Dieunomia)</t>
  </si>
  <si>
    <t>heteropoda</t>
  </si>
  <si>
    <t>Dufourea</t>
  </si>
  <si>
    <t>harveyi</t>
  </si>
  <si>
    <t>maura</t>
  </si>
  <si>
    <t>monardae</t>
  </si>
  <si>
    <t>Anthidiellum</t>
  </si>
  <si>
    <t>(Loyolanthidium)</t>
  </si>
  <si>
    <t>notatum</t>
  </si>
  <si>
    <t>boreale</t>
  </si>
  <si>
    <t>Anthidium</t>
  </si>
  <si>
    <t>(Anthidium)</t>
  </si>
  <si>
    <t>manicatum</t>
  </si>
  <si>
    <t>psoraleae</t>
  </si>
  <si>
    <t>tenuiflorae</t>
  </si>
  <si>
    <t>(Proanthidium)</t>
  </si>
  <si>
    <t>oblongatum</t>
  </si>
  <si>
    <t>Dianthidium</t>
  </si>
  <si>
    <t>(Dianthidium)</t>
  </si>
  <si>
    <t>simile</t>
  </si>
  <si>
    <t>Stelis</t>
  </si>
  <si>
    <t>(Dolichostelis)</t>
  </si>
  <si>
    <t>louisae</t>
  </si>
  <si>
    <t>(Stelis)</t>
  </si>
  <si>
    <t>coarctatus</t>
  </si>
  <si>
    <t>foederalis</t>
  </si>
  <si>
    <t>labiata</t>
  </si>
  <si>
    <t>lateralis</t>
  </si>
  <si>
    <t>nitida</t>
  </si>
  <si>
    <t>subemarginata</t>
  </si>
  <si>
    <t>Trachusa</t>
  </si>
  <si>
    <t>(Heteranthidium)</t>
  </si>
  <si>
    <t>zebrata</t>
  </si>
  <si>
    <t>Coelioxys</t>
  </si>
  <si>
    <t>(Boreocoelioxys)</t>
  </si>
  <si>
    <t>moestus</t>
  </si>
  <si>
    <t>octodentatus</t>
  </si>
  <si>
    <t>porterae</t>
  </si>
  <si>
    <t>rufitarsis</t>
  </si>
  <si>
    <t>(Coelioxys)</t>
  </si>
  <si>
    <t>sodalis</t>
  </si>
  <si>
    <t>(Cyrtocoelioxys)</t>
  </si>
  <si>
    <t>(Paracoelioxys)</t>
  </si>
  <si>
    <t>funerarius</t>
  </si>
  <si>
    <t>(Synocoelioxys)</t>
  </si>
  <si>
    <t>alternatus</t>
  </si>
  <si>
    <t>(Xerocoelioxys)</t>
  </si>
  <si>
    <t>immaculatus</t>
  </si>
  <si>
    <t>Megachile</t>
  </si>
  <si>
    <t>(Acentron)</t>
  </si>
  <si>
    <t>(Callomegachile)</t>
  </si>
  <si>
    <t>sculpturalis</t>
  </si>
  <si>
    <t>(Chelostomoides)</t>
  </si>
  <si>
    <t>campanulae</t>
  </si>
  <si>
    <t>rugifrons</t>
  </si>
  <si>
    <t>(Eutricharaea)</t>
  </si>
  <si>
    <t>apicalis</t>
  </si>
  <si>
    <t>pusilla</t>
  </si>
  <si>
    <t>rotundata</t>
  </si>
  <si>
    <t>(Leptorachis)</t>
  </si>
  <si>
    <t>petulans</t>
  </si>
  <si>
    <t>(Litomegachile)</t>
  </si>
  <si>
    <t>brevis</t>
  </si>
  <si>
    <t>mendica</t>
  </si>
  <si>
    <t>texana</t>
  </si>
  <si>
    <t>(Megachile)</t>
  </si>
  <si>
    <t>centuncularis</t>
  </si>
  <si>
    <t>inermis</t>
  </si>
  <si>
    <t>lapponica</t>
  </si>
  <si>
    <t>montivaga</t>
  </si>
  <si>
    <t>relativa</t>
  </si>
  <si>
    <t>(Megachiloides)</t>
  </si>
  <si>
    <t>dakotensis</t>
  </si>
  <si>
    <t>(Sayapis)</t>
  </si>
  <si>
    <t>frugalis</t>
  </si>
  <si>
    <t>inimical</t>
  </si>
  <si>
    <t>pugnata</t>
  </si>
  <si>
    <t>(Xanthosarus)</t>
  </si>
  <si>
    <t>addenda</t>
  </si>
  <si>
    <t>gemula</t>
  </si>
  <si>
    <t>latimanus</t>
  </si>
  <si>
    <t>mucida</t>
  </si>
  <si>
    <t>perihirta</t>
  </si>
  <si>
    <t>Ashmeadiella</t>
  </si>
  <si>
    <t>(Ashmeadiella)</t>
  </si>
  <si>
    <t>bucconis</t>
  </si>
  <si>
    <t>Chelostoma</t>
  </si>
  <si>
    <t>(Prochelostoma)</t>
  </si>
  <si>
    <t>philadelphi</t>
  </si>
  <si>
    <t>Heriades</t>
  </si>
  <si>
    <t>(Neotrypetes)</t>
  </si>
  <si>
    <t>carinata</t>
  </si>
  <si>
    <t>leavitti</t>
  </si>
  <si>
    <t>variolosa</t>
  </si>
  <si>
    <t>Hoplitis</t>
  </si>
  <si>
    <t>(Alcidamea)</t>
  </si>
  <si>
    <t>albifrons</t>
  </si>
  <si>
    <t>pilosifrons</t>
  </si>
  <si>
    <t>product</t>
  </si>
  <si>
    <t>producta</t>
  </si>
  <si>
    <t>spoliata</t>
  </si>
  <si>
    <t>truncata</t>
  </si>
  <si>
    <t>Osmia</t>
  </si>
  <si>
    <t>(Cephalosmia)</t>
  </si>
  <si>
    <t>subaustralis</t>
  </si>
  <si>
    <t>(Diceratosmia)</t>
  </si>
  <si>
    <t>conjuncta</t>
  </si>
  <si>
    <t>(Helicosmia)</t>
  </si>
  <si>
    <t>caerulescens</t>
  </si>
  <si>
    <t>georgica</t>
  </si>
  <si>
    <t>(Melanosmia)</t>
  </si>
  <si>
    <t>albiventris</t>
  </si>
  <si>
    <t>bucephala</t>
  </si>
  <si>
    <t>collinsiae</t>
  </si>
  <si>
    <t>distincta</t>
  </si>
  <si>
    <t>felti</t>
  </si>
  <si>
    <t>inspergens</t>
  </si>
  <si>
    <t>laticeps</t>
  </si>
  <si>
    <t>nigriventris</t>
  </si>
  <si>
    <t>proxima</t>
  </si>
  <si>
    <t>pumila</t>
  </si>
  <si>
    <t>simillima</t>
  </si>
  <si>
    <t>subarctica</t>
  </si>
  <si>
    <t>tarsata</t>
  </si>
  <si>
    <t>tersula</t>
  </si>
  <si>
    <t>aff.</t>
  </si>
  <si>
    <t>virga</t>
  </si>
  <si>
    <t>(Osmia)</t>
  </si>
  <si>
    <t>cornifrons</t>
  </si>
  <si>
    <t>lignaria</t>
  </si>
  <si>
    <t>taurus</t>
  </si>
  <si>
    <t>Macropis</t>
  </si>
  <si>
    <t>(Macropis)</t>
  </si>
  <si>
    <t>Agapostemonsericeus</t>
  </si>
  <si>
    <t>Agapostemonsplendens</t>
  </si>
  <si>
    <t>Agapostemontexanus</t>
  </si>
  <si>
    <t>Agapostemonvirescens</t>
  </si>
  <si>
    <t>Andrenaalgida</t>
  </si>
  <si>
    <t>Andrenaaliciae</t>
  </si>
  <si>
    <t>Andrenaalleghaniensis</t>
  </si>
  <si>
    <t>Andrenaandrenoides</t>
  </si>
  <si>
    <t>Andrenaarabis</t>
  </si>
  <si>
    <t>Andrenaasteris</t>
  </si>
  <si>
    <t>Andrenabarbara</t>
  </si>
  <si>
    <t>Andrenabarbilabris</t>
  </si>
  <si>
    <t>Andrenabisalicis</t>
  </si>
  <si>
    <t>Andrenabradleyi</t>
  </si>
  <si>
    <t>Andrenabrevipalpis</t>
  </si>
  <si>
    <t>Andrenacanadensis</t>
  </si>
  <si>
    <t>Andrenacarlini</t>
  </si>
  <si>
    <t>Andrenacarolina</t>
  </si>
  <si>
    <t>Andrenaceanothi</t>
  </si>
  <si>
    <t>Andrenachromotricha</t>
  </si>
  <si>
    <t>Andrenacommoda</t>
  </si>
  <si>
    <t>Andrenaconfederata</t>
  </si>
  <si>
    <t>Andrenacrataegi</t>
  </si>
  <si>
    <t>Andrenacressonii</t>
  </si>
  <si>
    <t>Andrenadistans</t>
  </si>
  <si>
    <t>Andrenadunningi</t>
  </si>
  <si>
    <t>Andrenaerigeniae</t>
  </si>
  <si>
    <t>Andrenaerythrogaster</t>
  </si>
  <si>
    <t>Andrenaerythronii</t>
  </si>
  <si>
    <t>Andrenafenningeri</t>
  </si>
  <si>
    <t>Andrenaforbesii</t>
  </si>
  <si>
    <t>Andrenafragilis</t>
  </si>
  <si>
    <t>Andrenagardineri</t>
  </si>
  <si>
    <t>Andrenageranii</t>
  </si>
  <si>
    <t>Andrenahelianthi</t>
  </si>
  <si>
    <t>Andrenaheraclei</t>
  </si>
  <si>
    <t>Andrenahilaris</t>
  </si>
  <si>
    <t>Andrenahippotes</t>
  </si>
  <si>
    <t>Andrenahirticincta</t>
  </si>
  <si>
    <t>Andrenailicis</t>
  </si>
  <si>
    <t>Andrenaillini</t>
  </si>
  <si>
    <t>Andrenaillinoiensis</t>
  </si>
  <si>
    <t>Andrenaimitatrix</t>
  </si>
  <si>
    <t>Andrenaintegra</t>
  </si>
  <si>
    <t>Andrenakrigiana</t>
  </si>
  <si>
    <t>Andrenamacoupinensis</t>
  </si>
  <si>
    <t>Andrenamacra</t>
  </si>
  <si>
    <t>Andrenamandibularis</t>
  </si>
  <si>
    <t>Andrenamariae</t>
  </si>
  <si>
    <t>Andrenamendica</t>
  </si>
  <si>
    <t>Andrenamilwaukeensis</t>
  </si>
  <si>
    <t>Andrenamiranda</t>
  </si>
  <si>
    <t>Andrenamiserabilis</t>
  </si>
  <si>
    <t>Andrenamorrisonella</t>
  </si>
  <si>
    <t>Andrenanasonii</t>
  </si>
  <si>
    <t>Andrenaneonana</t>
  </si>
  <si>
    <t>Andrenanigrae</t>
  </si>
  <si>
    <t>Andrenanigrihirta</t>
  </si>
  <si>
    <t>Andrenanivalis</t>
  </si>
  <si>
    <t>Andrenanubecula</t>
  </si>
  <si>
    <t>Andrenanuda</t>
  </si>
  <si>
    <t>Andrenaperplexa</t>
  </si>
  <si>
    <t>Andrenapersimulata</t>
  </si>
  <si>
    <t>Andrenapersonata</t>
  </si>
  <si>
    <t>Andrenaphaceliae</t>
  </si>
  <si>
    <t>Andrenaplacata</t>
  </si>
  <si>
    <t>Andrenaplatyparia</t>
  </si>
  <si>
    <t>Andrenapolemonii</t>
  </si>
  <si>
    <t>Andrenapruni</t>
  </si>
  <si>
    <t>Andrenarehni</t>
  </si>
  <si>
    <t>Andrenarobertsonii</t>
  </si>
  <si>
    <t>Andrenarudbeckiae</t>
  </si>
  <si>
    <t>Andrenarugosa</t>
  </si>
  <si>
    <t>Andrenasalictaria</t>
  </si>
  <si>
    <t>Andrenasigmundi</t>
  </si>
  <si>
    <t>Andrenasimplex</t>
  </si>
  <si>
    <t>Andrenaspiraeana</t>
  </si>
  <si>
    <t>Andrenathaspii</t>
  </si>
  <si>
    <t>Andrenatridens</t>
  </si>
  <si>
    <t>Andrenavicina</t>
  </si>
  <si>
    <t>Andrenaviolae</t>
  </si>
  <si>
    <t>Andrenawilkella</t>
  </si>
  <si>
    <t>Andrenawilmattae</t>
  </si>
  <si>
    <t>Andrenaziziae</t>
  </si>
  <si>
    <t>Andrenaziziaeformis</t>
  </si>
  <si>
    <t>Anthidiellumnotatum</t>
  </si>
  <si>
    <t>Anthidiummanicatum</t>
  </si>
  <si>
    <t>Anthidiumoblongatum</t>
  </si>
  <si>
    <t>Anthophoraabrupta</t>
  </si>
  <si>
    <t>Anthophorabomboides</t>
  </si>
  <si>
    <t>Anthophoraterminalis</t>
  </si>
  <si>
    <t>Anthophoraursina</t>
  </si>
  <si>
    <t>Anthophorawalshii</t>
  </si>
  <si>
    <t>Apismellifera</t>
  </si>
  <si>
    <t>Augochlorapura</t>
  </si>
  <si>
    <t>Augochlorellaaurata</t>
  </si>
  <si>
    <t>Augochlorellapersimilis</t>
  </si>
  <si>
    <t>Augochloropsismetallica</t>
  </si>
  <si>
    <t>Bombusaffinis</t>
  </si>
  <si>
    <t>Bombusashtoni</t>
  </si>
  <si>
    <t>Bombusauricomus</t>
  </si>
  <si>
    <t>Bombusbimaculatus</t>
  </si>
  <si>
    <t>Bombusborealis</t>
  </si>
  <si>
    <t>Bombuscitrinus</t>
  </si>
  <si>
    <t>Bombusfervidus</t>
  </si>
  <si>
    <t>Bombusfraternus</t>
  </si>
  <si>
    <t>Bombusgriseocollis</t>
  </si>
  <si>
    <t>Bombusimpatiens</t>
  </si>
  <si>
    <t>Bombuspensylvanicus</t>
  </si>
  <si>
    <t>Bombusperplexus</t>
  </si>
  <si>
    <t>Bombussandersoni</t>
  </si>
  <si>
    <t>Bombusterricola</t>
  </si>
  <si>
    <t>Bombusvagans</t>
  </si>
  <si>
    <t>Bombusvariabilis</t>
  </si>
  <si>
    <t>Calliopsisandreniformis</t>
  </si>
  <si>
    <t>Cemolobusipomoeae</t>
  </si>
  <si>
    <t>Ceratinacalcarata</t>
  </si>
  <si>
    <t>Ceratinadupla</t>
  </si>
  <si>
    <t>Ceratinamikmaqi</t>
  </si>
  <si>
    <t>Ceratinastrenua</t>
  </si>
  <si>
    <t>Chelostomaphiladelphi</t>
  </si>
  <si>
    <t>Coelioxysalternatus</t>
  </si>
  <si>
    <t>Coelioxysbanksi</t>
  </si>
  <si>
    <t>Coelioxysgermanus</t>
  </si>
  <si>
    <t>Coelioxysmodestus</t>
  </si>
  <si>
    <t>Coelioxysoctodentatus</t>
  </si>
  <si>
    <t>Coelioxysrufitarsis</t>
  </si>
  <si>
    <t>Coelioxyssayi</t>
  </si>
  <si>
    <t>Colletesaestivalis</t>
  </si>
  <si>
    <t>Colletesamericanus</t>
  </si>
  <si>
    <t>Colletescompactus</t>
  </si>
  <si>
    <t>Colleteseulophi</t>
  </si>
  <si>
    <t>Colletesinaequalis</t>
  </si>
  <si>
    <t>Colleteskincaidii</t>
  </si>
  <si>
    <t>Colleteslatitarsis</t>
  </si>
  <si>
    <t>Colletesmandibularis</t>
  </si>
  <si>
    <t>Colletesnudus</t>
  </si>
  <si>
    <t>Colletessimulans</t>
  </si>
  <si>
    <t>Colletesthoracicus</t>
  </si>
  <si>
    <t>Colleteswillistoni</t>
  </si>
  <si>
    <t>Dieunomiaheteropoda</t>
  </si>
  <si>
    <t>Dufoureanovaeangliae</t>
  </si>
  <si>
    <t>Epeoloidespilosulus</t>
  </si>
  <si>
    <t>Epeolusautumnalis</t>
  </si>
  <si>
    <t>Epeolusbifasciatus</t>
  </si>
  <si>
    <t>Epeoluslectoides</t>
  </si>
  <si>
    <t>Epeolusscutellaris</t>
  </si>
  <si>
    <t>Euceraatriventris</t>
  </si>
  <si>
    <t>Euceradubitata</t>
  </si>
  <si>
    <t>Eucerahamata</t>
  </si>
  <si>
    <t>Eucerarosae</t>
  </si>
  <si>
    <t>Habropodalaboriosa</t>
  </si>
  <si>
    <t>Halictusconfusus</t>
  </si>
  <si>
    <t>Halictusligatus</t>
  </si>
  <si>
    <t>Halictusparallelus</t>
  </si>
  <si>
    <t>Halictusrubicundus</t>
  </si>
  <si>
    <t>Heriadescarinata</t>
  </si>
  <si>
    <t>Heriadesvariolosa</t>
  </si>
  <si>
    <t>Holcopasitescalliopsidis</t>
  </si>
  <si>
    <t>Holcopasitesillinoiensis</t>
  </si>
  <si>
    <t>Hoplitispilosifrons</t>
  </si>
  <si>
    <t>Hoplitisproducta</t>
  </si>
  <si>
    <t>Hoplitisspoliata</t>
  </si>
  <si>
    <t>Hoplitistruncata</t>
  </si>
  <si>
    <t>Hylaeusaffinismodestus</t>
  </si>
  <si>
    <t>Hylaeusannulatus</t>
  </si>
  <si>
    <t>Hylaeusfedorica</t>
  </si>
  <si>
    <t>Hylaeushyalinatus</t>
  </si>
  <si>
    <t>Hylaeusillinoisensis</t>
  </si>
  <si>
    <t>Hylaeusleptocephalus</t>
  </si>
  <si>
    <t>Hylaeusmesillae</t>
  </si>
  <si>
    <t>Hylaeusnelumbonis</t>
  </si>
  <si>
    <t>Hylaeuspictipes</t>
  </si>
  <si>
    <t>Hylaeussaniculae</t>
  </si>
  <si>
    <t>Lasioglossumabanci</t>
  </si>
  <si>
    <t>Lasioglossumadmirandum</t>
  </si>
  <si>
    <t>Lasioglossumalbipenne</t>
  </si>
  <si>
    <t>Lasioglossumanomalum</t>
  </si>
  <si>
    <t>Lasioglossumapocyni</t>
  </si>
  <si>
    <t>Lasioglossumathabascense</t>
  </si>
  <si>
    <t>Lasioglossumbirkmanni</t>
  </si>
  <si>
    <t>Lasioglossumbruneri</t>
  </si>
  <si>
    <t>Lasioglossumcallidum</t>
  </si>
  <si>
    <t>Lasioglossumcattellae</t>
  </si>
  <si>
    <t>Lasioglossumcinctipes</t>
  </si>
  <si>
    <t>Lasioglossumcoeruleum</t>
  </si>
  <si>
    <t>Lasioglossumcoreopsis</t>
  </si>
  <si>
    <t>Lasioglossumcoriaceum</t>
  </si>
  <si>
    <t>Lasioglossumcressonii</t>
  </si>
  <si>
    <t>Lasioglossumellisiae</t>
  </si>
  <si>
    <t>Lasioglossumephialtum</t>
  </si>
  <si>
    <t>Lasioglossumforbesii</t>
  </si>
  <si>
    <t>Lasioglossumfoxii</t>
  </si>
  <si>
    <t>Lasioglossumfuscipenne</t>
  </si>
  <si>
    <t>Lasioglossumgotham</t>
  </si>
  <si>
    <t>Lasioglossumheterognathus</t>
  </si>
  <si>
    <t>Lasioglossumhitchensi</t>
  </si>
  <si>
    <t>Lasioglossumillinoense</t>
  </si>
  <si>
    <t>Lasioglossumimitatum</t>
  </si>
  <si>
    <t>Lasioglossumlaevissimum</t>
  </si>
  <si>
    <t>Lasioglossumleucocomus</t>
  </si>
  <si>
    <t>Lasioglossumleucozonium</t>
  </si>
  <si>
    <t>Lasioglossumlineatulum</t>
  </si>
  <si>
    <t>Lasioglossumlionotus</t>
  </si>
  <si>
    <t>Lasioglossumlustrans</t>
  </si>
  <si>
    <t>Lasioglossummacoupinense</t>
  </si>
  <si>
    <t>Lasioglossummichiganense</t>
  </si>
  <si>
    <t>Lasioglossumnelumbonis</t>
  </si>
  <si>
    <t>Lasioglossumnigroviride</t>
  </si>
  <si>
    <t>Lasioglossumoblongum</t>
  </si>
  <si>
    <t>Lasioglossumobscurum</t>
  </si>
  <si>
    <t>Lasioglossumoceanicum</t>
  </si>
  <si>
    <t>Lasioglossumparadmirandum</t>
  </si>
  <si>
    <t>Lasioglossumparaforbesii</t>
  </si>
  <si>
    <t>Lasioglossumpectinatum</t>
  </si>
  <si>
    <t>Lasioglossumpectorale</t>
  </si>
  <si>
    <t>Lasioglossumperpunctatum</t>
  </si>
  <si>
    <t>Lasioglossumpilosum</t>
  </si>
  <si>
    <t>Lasioglossumquebecense</t>
  </si>
  <si>
    <t>Lasioglossumrozeni</t>
  </si>
  <si>
    <t>Lasioglossumsmilacinae</t>
  </si>
  <si>
    <t>Lasioglossumsubviridatum</t>
  </si>
  <si>
    <t>Lasioglossumtegulare</t>
  </si>
  <si>
    <t>Lasioglossumtruncatum</t>
  </si>
  <si>
    <t>Lasioglossumversans</t>
  </si>
  <si>
    <t>Lasioglossumversatum</t>
  </si>
  <si>
    <t>Lasioglossumvierecki</t>
  </si>
  <si>
    <t>Lasioglossumviridatum</t>
  </si>
  <si>
    <t>Lasioglossumweemsi</t>
  </si>
  <si>
    <t>Lasioglossumzephyrus</t>
  </si>
  <si>
    <t>Lasioglossumzonulum</t>
  </si>
  <si>
    <t>Macropisciliata</t>
  </si>
  <si>
    <t>Megachileaddenda</t>
  </si>
  <si>
    <t>Megachileapicalis</t>
  </si>
  <si>
    <t>Megachilebrevis</t>
  </si>
  <si>
    <t>Megachilecampanulae</t>
  </si>
  <si>
    <t>Megachilecentuncularis</t>
  </si>
  <si>
    <t>Megachileexilis</t>
  </si>
  <si>
    <t>Megachilefrigida</t>
  </si>
  <si>
    <t>Megachilefrugalis</t>
  </si>
  <si>
    <t>Megachilegemula</t>
  </si>
  <si>
    <t>Megachileinimica</t>
  </si>
  <si>
    <t>Megachileintegra</t>
  </si>
  <si>
    <t>Megachilelatimanus</t>
  </si>
  <si>
    <t>Megachilemendica</t>
  </si>
  <si>
    <t>Megachilemontivaga</t>
  </si>
  <si>
    <t>Megachilemucida</t>
  </si>
  <si>
    <t>Megachilepetulans</t>
  </si>
  <si>
    <t>Megachilepugnata</t>
  </si>
  <si>
    <t>Megachilepusilla</t>
  </si>
  <si>
    <t>Megachilerelativa</t>
  </si>
  <si>
    <t>Megachilerotundata</t>
  </si>
  <si>
    <t>Megachilerugifrons</t>
  </si>
  <si>
    <t>Megachilesculpturalis</t>
  </si>
  <si>
    <t>Megachiletexana</t>
  </si>
  <si>
    <t>Megachilexylocopoides</t>
  </si>
  <si>
    <t>Melectapacifica</t>
  </si>
  <si>
    <t>Melissodesagilis</t>
  </si>
  <si>
    <t>Melissodesbimaculatus</t>
  </si>
  <si>
    <t>Melissodescoloradensis</t>
  </si>
  <si>
    <t>Melissodesdenticulatus</t>
  </si>
  <si>
    <t>Melissodesdentiventris</t>
  </si>
  <si>
    <t>Melissodesdesponsus</t>
  </si>
  <si>
    <t>Melissodesdruriellus</t>
  </si>
  <si>
    <t>Melissodesniveus</t>
  </si>
  <si>
    <t>Melissodessubillatus</t>
  </si>
  <si>
    <t>Melissodestinctus</t>
  </si>
  <si>
    <t>Melissodestrinodis</t>
  </si>
  <si>
    <t>Melissodeswheeleri</t>
  </si>
  <si>
    <t>Melitomataurea</t>
  </si>
  <si>
    <t>Nomadaaffabilis</t>
  </si>
  <si>
    <t>Nomadaannulata</t>
  </si>
  <si>
    <t>Nomadaarticulata</t>
  </si>
  <si>
    <t>Nomadaaustralis</t>
  </si>
  <si>
    <t>Nomadabella</t>
  </si>
  <si>
    <t>Nomadabethunei</t>
  </si>
  <si>
    <t>Nomadacressonii</t>
  </si>
  <si>
    <t>Nomadacuneata</t>
  </si>
  <si>
    <t>Nomadadenticulata</t>
  </si>
  <si>
    <t>Nomadadepressa</t>
  </si>
  <si>
    <t>Nomadafervida</t>
  </si>
  <si>
    <t>Nomadafragariae</t>
  </si>
  <si>
    <t>Nomadahydrophylli</t>
  </si>
  <si>
    <t>Nomadaillinoensis</t>
  </si>
  <si>
    <t>Nomadaimbricata</t>
  </si>
  <si>
    <t>Nomadalehighensis</t>
  </si>
  <si>
    <t>Nomadalepida</t>
  </si>
  <si>
    <t>Nomadaluteola</t>
  </si>
  <si>
    <t>Nomadaluteoloides</t>
  </si>
  <si>
    <t>Nomadamaculata</t>
  </si>
  <si>
    <t>Nomadaobliterata</t>
  </si>
  <si>
    <t>Nomadaovata</t>
  </si>
  <si>
    <t>Nomadaparva</t>
  </si>
  <si>
    <t>Nomadaperplexa</t>
  </si>
  <si>
    <t>Nomadaplacida</t>
  </si>
  <si>
    <t>Nomadapygmaea</t>
  </si>
  <si>
    <t>Nomadarubicunda</t>
  </si>
  <si>
    <t>Nomadasayi</t>
  </si>
  <si>
    <t>Nomadasulphurata</t>
  </si>
  <si>
    <t>Nomadasuperba</t>
  </si>
  <si>
    <t>Nomadatiftonensis</t>
  </si>
  <si>
    <t>Nomadavegana</t>
  </si>
  <si>
    <t>Nomadavicina</t>
  </si>
  <si>
    <t>Osmiaalbiventris</t>
  </si>
  <si>
    <t>Osmiaatriventris</t>
  </si>
  <si>
    <t>Osmiabucephala</t>
  </si>
  <si>
    <t>Osmiacaerulescens</t>
  </si>
  <si>
    <t>Osmiaconjuncta</t>
  </si>
  <si>
    <t>Osmiacordata</t>
  </si>
  <si>
    <t>Osmiacornifrons</t>
  </si>
  <si>
    <t>Osmiadistincta</t>
  </si>
  <si>
    <t>Osmiageorgica</t>
  </si>
  <si>
    <t>Osmiainspergens</t>
  </si>
  <si>
    <t>Osmialignaria</t>
  </si>
  <si>
    <t>Osmiapumila</t>
  </si>
  <si>
    <t>Osmiasimillima</t>
  </si>
  <si>
    <t>Osmiasubfasciata</t>
  </si>
  <si>
    <t>Osmiataurus</t>
  </si>
  <si>
    <t>Osmiatexana</t>
  </si>
  <si>
    <t>Paranthidiumjugatorium</t>
  </si>
  <si>
    <t>Peponapispruinosa</t>
  </si>
  <si>
    <t>Perditamaculigera</t>
  </si>
  <si>
    <t>Perditaoctomaculata</t>
  </si>
  <si>
    <t>Pseudoanthidiumnanum</t>
  </si>
  <si>
    <t>Pseudopanurgusaestivalis</t>
  </si>
  <si>
    <t>Pseudopanurgusandrenoides</t>
  </si>
  <si>
    <t>Pseudopanurguscompositarum</t>
  </si>
  <si>
    <t>Pseudopanurguslabrosus</t>
  </si>
  <si>
    <t>Pseudopanurguspassiflorae</t>
  </si>
  <si>
    <t>Pseudopanurgusrugosus</t>
  </si>
  <si>
    <t>Ptilothrixbombiformis</t>
  </si>
  <si>
    <t>Sphecodesaroniae</t>
  </si>
  <si>
    <t>Sphecodesatlantis</t>
  </si>
  <si>
    <t>Sphecodesbanksii</t>
  </si>
  <si>
    <t>Sphecodesclematidis</t>
  </si>
  <si>
    <t>Sphecodesconfertus</t>
  </si>
  <si>
    <t>Sphecodescoronus</t>
  </si>
  <si>
    <t>Sphecodescressonii</t>
  </si>
  <si>
    <t>Sphecodesdavisii</t>
  </si>
  <si>
    <t>Sphecodesdichrous</t>
  </si>
  <si>
    <t>Sphecodesheraclei</t>
  </si>
  <si>
    <t>Sphecodeslevis</t>
  </si>
  <si>
    <t>Sphecodesmandibularis</t>
  </si>
  <si>
    <t>Sphecodesminor</t>
  </si>
  <si>
    <t>Sphecodespimpinellae</t>
  </si>
  <si>
    <t>Sphecodesprosphorus</t>
  </si>
  <si>
    <t>Sphecodesranunculi</t>
  </si>
  <si>
    <t>Steliscoarctatus</t>
  </si>
  <si>
    <t>Stelislateralis</t>
  </si>
  <si>
    <t>Stelislouisae</t>
  </si>
  <si>
    <t>Stelisnitida</t>
  </si>
  <si>
    <t>Svastraobliqua</t>
  </si>
  <si>
    <t>Triepeolusdonatus</t>
  </si>
  <si>
    <t>Triepeoluslunatus</t>
  </si>
  <si>
    <t>Triepeoluspectoralis</t>
  </si>
  <si>
    <t>Triepeolusremigatus</t>
  </si>
  <si>
    <t>Triepeolussimplex</t>
  </si>
  <si>
    <t>Xenoglossastrenua</t>
  </si>
  <si>
    <t>Xylocopavirginica</t>
  </si>
  <si>
    <t>Ohio Regional Species pool</t>
  </si>
  <si>
    <t>(Callandrena s.l.)</t>
  </si>
  <si>
    <t>Not present in Michigan</t>
  </si>
  <si>
    <t>Not present in Ohio</t>
  </si>
  <si>
    <t>Note the spelling difference here</t>
  </si>
  <si>
    <t>Found/Not Found in Ohio</t>
  </si>
  <si>
    <t>Found/Not Found in Michegan</t>
  </si>
  <si>
    <t>Genus and species</t>
  </si>
  <si>
    <t>Evidence that the computer works better right here</t>
  </si>
  <si>
    <t>this one was repeated</t>
  </si>
  <si>
    <t>Calliopsis</t>
  </si>
  <si>
    <t>moestus and modestus are different species</t>
  </si>
  <si>
    <t>novaeangliae</t>
  </si>
  <si>
    <t>bifasciatus</t>
  </si>
  <si>
    <t>heterognathus</t>
  </si>
  <si>
    <t>leucocomus</t>
  </si>
  <si>
    <t>lionotus</t>
  </si>
  <si>
    <t>zephyrus</t>
  </si>
  <si>
    <t>affinismodestus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</si>
</sst>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91EA-06E4-452C-960F-523168945C8B}">
  <dimension ref="A1:V508"/>
  <sheetViews>
    <sheetView tabSelected="1" topLeftCell="A112" workbookViewId="0">
      <selection activeCell="L140" sqref="L140:L144"/>
    </sheetView>
  </sheetViews>
  <sheetFormatPr defaultRowHeight="14.5" x14ac:dyDescent="0.35"/>
  <cols>
    <col min="2" max="2" width="17.36328125" customWidth="1"/>
    <col min="4" max="4" width="16.81640625" customWidth="1"/>
    <col min="12" max="12" width="19.6328125" customWidth="1"/>
    <col min="14" max="14" width="19.6328125" customWidth="1"/>
  </cols>
  <sheetData>
    <row r="1" spans="1:19" x14ac:dyDescent="0.35">
      <c r="A1" t="s">
        <v>78</v>
      </c>
      <c r="B1" t="s">
        <v>983</v>
      </c>
      <c r="C1" t="s">
        <v>79</v>
      </c>
      <c r="D1" t="s">
        <v>80</v>
      </c>
      <c r="E1" t="s">
        <v>81</v>
      </c>
      <c r="L1" t="s">
        <v>976</v>
      </c>
      <c r="P1" t="s">
        <v>981</v>
      </c>
      <c r="S1" t="s">
        <v>982</v>
      </c>
    </row>
    <row r="2" spans="1:19" x14ac:dyDescent="0.35">
      <c r="A2" s="1" t="s">
        <v>15</v>
      </c>
      <c r="B2" s="1" t="str">
        <f>C2&amp;E2</f>
        <v>Agapostemonsericeus</v>
      </c>
      <c r="C2" s="1" t="s">
        <v>370</v>
      </c>
      <c r="D2" t="s">
        <v>371</v>
      </c>
      <c r="E2" s="3" t="s">
        <v>372</v>
      </c>
      <c r="L2" t="s">
        <v>617</v>
      </c>
      <c r="P2" t="str">
        <f>_xlfn.XLOOKUP("*" &amp; E2 &amp; "*",L:L,L:L, "Not Found in Ohio",2)</f>
        <v>Agapostemonsericeus</v>
      </c>
      <c r="S2" t="str">
        <f>_xlfn.XLOOKUP("*"&amp;L2&amp;"*",B:B,B:B,"Not Found in Michigan",2)</f>
        <v>Agapostemonsericeus</v>
      </c>
    </row>
    <row r="3" spans="1:19" x14ac:dyDescent="0.35">
      <c r="B3" s="1" t="str">
        <f t="shared" ref="B3:B66" si="0">C3&amp;E3</f>
        <v>Agapostemonsplendens</v>
      </c>
      <c r="C3" s="1" t="s">
        <v>370</v>
      </c>
      <c r="D3" t="s">
        <v>371</v>
      </c>
      <c r="E3" s="3" t="s">
        <v>373</v>
      </c>
      <c r="L3" t="s">
        <v>618</v>
      </c>
      <c r="P3" t="str">
        <f t="shared" ref="P3:P11" si="1">_xlfn.XLOOKUP("*" &amp; E3 &amp; "*",L:L,L:L, "Not Found in Ohio",2)</f>
        <v>Agapostemonsplendens</v>
      </c>
      <c r="S3" t="str">
        <f t="shared" ref="S3:S66" si="2">_xlfn.XLOOKUP("*"&amp;L3&amp;"*",B:B,B:B,"Not Found in Michigan",2)</f>
        <v>Agapostemonsplendens</v>
      </c>
    </row>
    <row r="4" spans="1:19" x14ac:dyDescent="0.35">
      <c r="B4" s="1" t="str">
        <f t="shared" si="0"/>
        <v>Agapostemontexanus</v>
      </c>
      <c r="C4" s="1" t="s">
        <v>370</v>
      </c>
      <c r="D4" t="s">
        <v>371</v>
      </c>
      <c r="E4" s="3" t="s">
        <v>374</v>
      </c>
      <c r="L4" t="s">
        <v>619</v>
      </c>
      <c r="P4" t="str">
        <f t="shared" si="1"/>
        <v>Agapostemontexanus</v>
      </c>
      <c r="S4" t="str">
        <f t="shared" si="2"/>
        <v>Agapostemontexanus</v>
      </c>
    </row>
    <row r="5" spans="1:19" x14ac:dyDescent="0.35">
      <c r="B5" s="1" t="str">
        <f t="shared" si="0"/>
        <v>Agapostemonvirescens</v>
      </c>
      <c r="C5" s="1" t="s">
        <v>370</v>
      </c>
      <c r="D5" t="s">
        <v>371</v>
      </c>
      <c r="E5" s="3" t="s">
        <v>375</v>
      </c>
      <c r="L5" t="s">
        <v>620</v>
      </c>
      <c r="P5" t="str">
        <f t="shared" si="1"/>
        <v>Agapostemonvirescens</v>
      </c>
      <c r="S5" t="str">
        <f t="shared" si="2"/>
        <v>Agapostemonvirescens</v>
      </c>
    </row>
    <row r="6" spans="1:19" s="3" customFormat="1" x14ac:dyDescent="0.35">
      <c r="B6" s="1" t="str">
        <f t="shared" si="0"/>
        <v>Andrenaalgida</v>
      </c>
      <c r="C6" s="4" t="s">
        <v>28</v>
      </c>
      <c r="D6" s="3" t="s">
        <v>56</v>
      </c>
      <c r="E6" s="3" t="s">
        <v>57</v>
      </c>
      <c r="L6" t="s">
        <v>621</v>
      </c>
      <c r="P6" t="str">
        <f t="shared" si="1"/>
        <v>Andrenaalgida</v>
      </c>
      <c r="Q6"/>
      <c r="R6"/>
      <c r="S6" t="str">
        <f t="shared" si="2"/>
        <v>Andrenaalgida</v>
      </c>
    </row>
    <row r="7" spans="1:19" s="3" customFormat="1" x14ac:dyDescent="0.35">
      <c r="B7" s="1" t="str">
        <f t="shared" si="0"/>
        <v>Andrenaaliciae</v>
      </c>
      <c r="C7" s="4" t="s">
        <v>28</v>
      </c>
      <c r="D7" s="3" t="s">
        <v>977</v>
      </c>
      <c r="E7" s="3" t="s">
        <v>38</v>
      </c>
      <c r="L7" t="s">
        <v>622</v>
      </c>
      <c r="P7" t="str">
        <f t="shared" si="1"/>
        <v>Andrenaaliciae</v>
      </c>
      <c r="Q7"/>
      <c r="R7"/>
      <c r="S7" t="str">
        <f t="shared" si="2"/>
        <v>Andrenaaliciae</v>
      </c>
    </row>
    <row r="8" spans="1:19" s="3" customFormat="1" x14ac:dyDescent="0.35">
      <c r="B8" s="1" t="str">
        <f t="shared" si="0"/>
        <v>Andrenaalleghaniensis</v>
      </c>
      <c r="C8" s="4" t="s">
        <v>28</v>
      </c>
      <c r="D8" s="3" t="s">
        <v>174</v>
      </c>
      <c r="E8" s="3" t="s">
        <v>175</v>
      </c>
      <c r="L8" t="s">
        <v>623</v>
      </c>
      <c r="P8" t="str">
        <f t="shared" si="1"/>
        <v>Andrenaalleghaniensis</v>
      </c>
      <c r="Q8"/>
      <c r="R8"/>
      <c r="S8" t="str">
        <f t="shared" si="2"/>
        <v>Andrenaalleghaniensis</v>
      </c>
    </row>
    <row r="9" spans="1:19" s="3" customFormat="1" x14ac:dyDescent="0.35">
      <c r="B9" s="1" t="str">
        <f t="shared" si="0"/>
        <v>Andrenaandrenoides</v>
      </c>
      <c r="C9" s="4" t="s">
        <v>28</v>
      </c>
      <c r="D9" s="3" t="s">
        <v>162</v>
      </c>
      <c r="E9" s="3" t="s">
        <v>120</v>
      </c>
      <c r="L9" t="s">
        <v>624</v>
      </c>
      <c r="P9" t="str">
        <f t="shared" si="1"/>
        <v>Andrenaandrenoides</v>
      </c>
      <c r="Q9"/>
      <c r="R9"/>
      <c r="S9" t="str">
        <f t="shared" si="2"/>
        <v>Andrenaandrenoides</v>
      </c>
    </row>
    <row r="10" spans="1:19" s="3" customFormat="1" x14ac:dyDescent="0.35">
      <c r="B10" s="1" t="str">
        <f t="shared" si="0"/>
        <v>Andrenaarabis</v>
      </c>
      <c r="C10" s="4" t="s">
        <v>28</v>
      </c>
      <c r="D10" s="3" t="s">
        <v>172</v>
      </c>
      <c r="E10" s="3" t="s">
        <v>173</v>
      </c>
      <c r="L10" t="s">
        <v>625</v>
      </c>
      <c r="P10" t="str">
        <f t="shared" si="1"/>
        <v>Andrenaarabis</v>
      </c>
      <c r="Q10"/>
      <c r="R10"/>
      <c r="S10" t="str">
        <f t="shared" si="2"/>
        <v>Andrenaarabis</v>
      </c>
    </row>
    <row r="11" spans="1:19" s="3" customFormat="1" x14ac:dyDescent="0.35">
      <c r="B11" s="1" t="str">
        <f t="shared" si="0"/>
        <v>Andrenaasteris</v>
      </c>
      <c r="C11" s="4" t="s">
        <v>28</v>
      </c>
      <c r="D11" s="3" t="s">
        <v>977</v>
      </c>
      <c r="E11" s="3" t="s">
        <v>39</v>
      </c>
      <c r="L11" t="s">
        <v>626</v>
      </c>
      <c r="P11" t="str">
        <f t="shared" si="1"/>
        <v>Andrenaasteris</v>
      </c>
      <c r="Q11"/>
      <c r="R11"/>
      <c r="S11" t="str">
        <f t="shared" si="2"/>
        <v>Andrenaasteris</v>
      </c>
    </row>
    <row r="12" spans="1:19" x14ac:dyDescent="0.35">
      <c r="B12" s="1" t="str">
        <f t="shared" si="0"/>
        <v/>
      </c>
      <c r="C12" s="1"/>
      <c r="L12" t="s">
        <v>627</v>
      </c>
      <c r="M12" t="s">
        <v>978</v>
      </c>
      <c r="P12" t="str">
        <f>_xlfn.XLOOKUP("*" &amp; E12 &amp; "*",L:L,L:L, "Not Found in Ohio",2)</f>
        <v>Ohio Regional Species pool</v>
      </c>
      <c r="S12" t="str">
        <f t="shared" si="2"/>
        <v>Andrenabarbara</v>
      </c>
    </row>
    <row r="13" spans="1:19" s="3" customFormat="1" x14ac:dyDescent="0.35">
      <c r="B13" s="1" t="str">
        <f t="shared" si="0"/>
        <v>Andrenabarbara</v>
      </c>
      <c r="C13" s="4" t="s">
        <v>28</v>
      </c>
      <c r="D13" s="3" t="s">
        <v>75</v>
      </c>
      <c r="E13" s="3" t="s">
        <v>76</v>
      </c>
      <c r="L13" t="s">
        <v>628</v>
      </c>
      <c r="P13" t="str">
        <f>_xlfn.XLOOKUP("*" &amp; E13 &amp; "*",L:L,L:L, "Not Found in Ohio",2)</f>
        <v>Andrenabarbara</v>
      </c>
      <c r="Q13"/>
      <c r="R13"/>
      <c r="S13" t="str">
        <f t="shared" si="2"/>
        <v>Andrenabarbilabris</v>
      </c>
    </row>
    <row r="14" spans="1:19" s="3" customFormat="1" x14ac:dyDescent="0.35">
      <c r="B14" s="1" t="str">
        <f t="shared" si="0"/>
        <v>Andrenabarbilabris</v>
      </c>
      <c r="C14" s="4" t="s">
        <v>28</v>
      </c>
      <c r="D14" s="3" t="s">
        <v>72</v>
      </c>
      <c r="E14" s="3" t="s">
        <v>73</v>
      </c>
      <c r="L14" t="s">
        <v>629</v>
      </c>
      <c r="P14" t="str">
        <f>_xlfn.XLOOKUP("*" &amp; E14 &amp; "*",L:L,L:L, "Not Found in Ohio",2)</f>
        <v>Andrenabarbilabris</v>
      </c>
      <c r="Q14"/>
      <c r="R14"/>
      <c r="S14" t="str">
        <f t="shared" si="2"/>
        <v>Andrenabisalicis</v>
      </c>
    </row>
    <row r="15" spans="1:19" s="3" customFormat="1" x14ac:dyDescent="0.35">
      <c r="B15" s="1" t="str">
        <f t="shared" si="0"/>
        <v>Andrenabisalicis</v>
      </c>
      <c r="C15" s="4" t="s">
        <v>28</v>
      </c>
      <c r="D15" s="3" t="s">
        <v>183</v>
      </c>
      <c r="E15" s="3" t="s">
        <v>184</v>
      </c>
      <c r="L15" t="s">
        <v>630</v>
      </c>
      <c r="P15" t="str">
        <f>_xlfn.XLOOKUP("*" &amp; E15 &amp; "*",L:L,L:L, "Not Found in Ohio",2)</f>
        <v>Andrenabisalicis</v>
      </c>
      <c r="Q15"/>
      <c r="R15"/>
      <c r="S15" t="str">
        <f t="shared" si="2"/>
        <v>Andrenabradleyi</v>
      </c>
    </row>
    <row r="16" spans="1:19" s="3" customFormat="1" x14ac:dyDescent="0.35">
      <c r="B16" s="1" t="str">
        <f t="shared" si="0"/>
        <v>Andrenabradleyi</v>
      </c>
      <c r="C16" s="4" t="s">
        <v>28</v>
      </c>
      <c r="D16" s="3" t="s">
        <v>54</v>
      </c>
      <c r="E16" s="3" t="s">
        <v>55</v>
      </c>
      <c r="L16" t="s">
        <v>631</v>
      </c>
      <c r="P16" t="str">
        <f>_xlfn.XLOOKUP("*" &amp; E16 &amp; "*",L:L,L:L, "Not Found in Ohio",2)</f>
        <v>Andrenabradleyi</v>
      </c>
      <c r="Q16"/>
      <c r="R16"/>
      <c r="S16" t="str">
        <f t="shared" si="2"/>
        <v>Andrenabrevipalpis</v>
      </c>
    </row>
    <row r="17" spans="1:19" s="3" customFormat="1" x14ac:dyDescent="0.35">
      <c r="B17" s="1" t="str">
        <f t="shared" si="0"/>
        <v>Andrenabrevipalpis</v>
      </c>
      <c r="C17" s="4" t="s">
        <v>28</v>
      </c>
      <c r="D17" s="3" t="s">
        <v>169</v>
      </c>
      <c r="E17" s="3" t="s">
        <v>170</v>
      </c>
      <c r="L17" t="s">
        <v>632</v>
      </c>
      <c r="P17" t="str">
        <f>_xlfn.XLOOKUP("*" &amp; E17 &amp; "*",L:L,L:L, "Not Found in Ohio",2)</f>
        <v>Andrenabrevipalpis</v>
      </c>
      <c r="Q17"/>
      <c r="R17"/>
      <c r="S17" t="str">
        <f t="shared" si="2"/>
        <v>Andrenacanadensis</v>
      </c>
    </row>
    <row r="18" spans="1:19" s="3" customFormat="1" x14ac:dyDescent="0.35">
      <c r="B18" s="1" t="str">
        <f t="shared" si="0"/>
        <v>Andrenacanadensis</v>
      </c>
      <c r="C18" s="4" t="s">
        <v>28</v>
      </c>
      <c r="D18" s="3" t="s">
        <v>46</v>
      </c>
      <c r="E18" s="3" t="s">
        <v>47</v>
      </c>
      <c r="L18" t="s">
        <v>633</v>
      </c>
      <c r="P18" t="str">
        <f>_xlfn.XLOOKUP("*" &amp; E18 &amp; "*",L:L,L:L, "Not Found in Ohio",2)</f>
        <v>Andrenacanadensis</v>
      </c>
      <c r="Q18"/>
      <c r="R18"/>
      <c r="S18" t="str">
        <f t="shared" si="2"/>
        <v>Andrenacarlini</v>
      </c>
    </row>
    <row r="19" spans="1:19" s="3" customFormat="1" x14ac:dyDescent="0.35">
      <c r="B19" s="1" t="str">
        <f t="shared" si="0"/>
        <v>Andrenacarlini</v>
      </c>
      <c r="C19" s="4" t="s">
        <v>28</v>
      </c>
      <c r="D19" s="3" t="s">
        <v>75</v>
      </c>
      <c r="E19" s="3" t="s">
        <v>77</v>
      </c>
      <c r="L19" t="s">
        <v>634</v>
      </c>
      <c r="P19" t="str">
        <f>_xlfn.XLOOKUP("*" &amp; E19 &amp; "*",L:L,L:L, "Not Found in Ohio",2)</f>
        <v>Andrenacarlini</v>
      </c>
      <c r="Q19"/>
      <c r="R19"/>
      <c r="S19" t="str">
        <f t="shared" si="2"/>
        <v>Andrenacarolina</v>
      </c>
    </row>
    <row r="20" spans="1:19" s="3" customFormat="1" x14ac:dyDescent="0.35">
      <c r="A20" s="4" t="s">
        <v>25</v>
      </c>
      <c r="B20" s="1" t="str">
        <f t="shared" si="0"/>
        <v>Andrenacarolina</v>
      </c>
      <c r="C20" s="4" t="s">
        <v>28</v>
      </c>
      <c r="D20" s="3" t="s">
        <v>29</v>
      </c>
      <c r="E20" s="3" t="s">
        <v>30</v>
      </c>
      <c r="L20" t="s">
        <v>635</v>
      </c>
      <c r="P20" t="str">
        <f>_xlfn.XLOOKUP("*" &amp; E20 &amp; "*",L:L,L:L, "Not Found in Ohio",2)</f>
        <v>Andrenacarolina</v>
      </c>
      <c r="Q20"/>
      <c r="R20"/>
      <c r="S20" t="str">
        <f t="shared" si="2"/>
        <v>Andrenaceanothi</v>
      </c>
    </row>
    <row r="21" spans="1:19" s="3" customFormat="1" x14ac:dyDescent="0.35">
      <c r="B21" s="1" t="str">
        <f t="shared" si="0"/>
        <v>Andrenaceanothi</v>
      </c>
      <c r="C21" s="4" t="s">
        <v>28</v>
      </c>
      <c r="D21" s="3" t="s">
        <v>92</v>
      </c>
      <c r="E21" s="3" t="s">
        <v>186</v>
      </c>
      <c r="L21" t="s">
        <v>636</v>
      </c>
      <c r="P21" t="str">
        <f>_xlfn.XLOOKUP("*" &amp; E21 &amp; "*",L:L,L:L, "Not Found in Ohio",2)</f>
        <v>Andrenaceanothi</v>
      </c>
      <c r="Q21"/>
      <c r="R21"/>
      <c r="S21" t="str">
        <f t="shared" si="2"/>
        <v>Andrenachromotricha</v>
      </c>
    </row>
    <row r="22" spans="1:19" s="3" customFormat="1" x14ac:dyDescent="0.35">
      <c r="B22" s="1" t="str">
        <f t="shared" si="0"/>
        <v>Andrenachromotricha</v>
      </c>
      <c r="C22" s="4" t="s">
        <v>28</v>
      </c>
      <c r="D22" s="3" t="s">
        <v>46</v>
      </c>
      <c r="E22" s="3" t="s">
        <v>48</v>
      </c>
      <c r="L22" t="s">
        <v>637</v>
      </c>
      <c r="P22" t="str">
        <f>_xlfn.XLOOKUP("*" &amp; E22 &amp; "*",L:L,L:L, "Not Found in Ohio",2)</f>
        <v>Andrenachromotricha</v>
      </c>
      <c r="Q22"/>
      <c r="R22"/>
      <c r="S22" t="str">
        <f t="shared" si="2"/>
        <v>Andrenacommoda</v>
      </c>
    </row>
    <row r="23" spans="1:19" s="3" customFormat="1" x14ac:dyDescent="0.35">
      <c r="A23" s="2" t="s">
        <v>26</v>
      </c>
      <c r="B23" s="1" t="str">
        <f t="shared" si="0"/>
        <v>Andrenaclarkella</v>
      </c>
      <c r="C23" s="1" t="s">
        <v>28</v>
      </c>
      <c r="D23" t="s">
        <v>29</v>
      </c>
      <c r="E23" s="5" t="s">
        <v>31</v>
      </c>
      <c r="F23" t="s">
        <v>979</v>
      </c>
      <c r="G23"/>
      <c r="H23"/>
      <c r="I23"/>
      <c r="J23"/>
      <c r="K23"/>
      <c r="L23" t="s">
        <v>638</v>
      </c>
      <c r="P23" t="str">
        <f>_xlfn.XLOOKUP("*" &amp; E23 &amp; "*",L:L,L:L, "Not Found in Ohio",2)</f>
        <v>Not Found in Ohio</v>
      </c>
      <c r="Q23"/>
      <c r="R23"/>
      <c r="S23" t="str">
        <f t="shared" si="2"/>
        <v>Andrenaconfederata</v>
      </c>
    </row>
    <row r="24" spans="1:19" x14ac:dyDescent="0.35">
      <c r="B24" s="1" t="str">
        <f t="shared" si="0"/>
        <v>Andrenacommoda</v>
      </c>
      <c r="C24" s="1" t="s">
        <v>28</v>
      </c>
      <c r="D24" t="s">
        <v>75</v>
      </c>
      <c r="E24" t="s">
        <v>146</v>
      </c>
      <c r="L24" t="s">
        <v>639</v>
      </c>
      <c r="P24" t="str">
        <f>_xlfn.XLOOKUP("*" &amp; E24 &amp; "*",L:L,L:L, "Not Found in Ohio",2)</f>
        <v>Andrenacommoda</v>
      </c>
      <c r="S24" t="str">
        <f t="shared" si="2"/>
        <v>Andrenacrataegi</v>
      </c>
    </row>
    <row r="25" spans="1:19" x14ac:dyDescent="0.35">
      <c r="B25" s="1" t="str">
        <f t="shared" si="0"/>
        <v>Andrenaconfederata</v>
      </c>
      <c r="C25" s="1" t="s">
        <v>28</v>
      </c>
      <c r="D25" t="s">
        <v>75</v>
      </c>
      <c r="E25" t="s">
        <v>147</v>
      </c>
      <c r="L25" t="s">
        <v>640</v>
      </c>
      <c r="P25" t="str">
        <f>_xlfn.XLOOKUP("*" &amp; E25 &amp; "*",L:L,L:L, "Not Found in Ohio",2)</f>
        <v>Andrenaconfederata</v>
      </c>
      <c r="S25" t="str">
        <f t="shared" si="2"/>
        <v>Andrenacressonii</v>
      </c>
    </row>
    <row r="26" spans="1:19" x14ac:dyDescent="0.35">
      <c r="B26" s="1" t="str">
        <f t="shared" si="0"/>
        <v>Andrenacrataegi</v>
      </c>
      <c r="C26" s="1" t="s">
        <v>28</v>
      </c>
      <c r="D26" t="s">
        <v>164</v>
      </c>
      <c r="E26" t="s">
        <v>165</v>
      </c>
      <c r="L26" t="s">
        <v>641</v>
      </c>
      <c r="P26" t="str">
        <f>_xlfn.XLOOKUP("*" &amp; E26 &amp; "*",L:L,L:L, "Not Found in Ohio",2)</f>
        <v>Andrenacrataegi</v>
      </c>
      <c r="S26" t="str">
        <f t="shared" si="2"/>
        <v>Andrenadistans</v>
      </c>
    </row>
    <row r="27" spans="1:19" x14ac:dyDescent="0.35">
      <c r="B27" s="1" t="str">
        <f t="shared" si="0"/>
        <v>Andrenacressonii</v>
      </c>
      <c r="C27" s="1" t="s">
        <v>28</v>
      </c>
      <c r="D27" t="s">
        <v>66</v>
      </c>
      <c r="E27" t="s">
        <v>67</v>
      </c>
      <c r="L27" t="s">
        <v>642</v>
      </c>
      <c r="P27" t="str">
        <f>_xlfn.XLOOKUP("*" &amp; E27 &amp; "*",L:L,L:L, "Not Found in Ohio",2)</f>
        <v>Andrenacressonii</v>
      </c>
      <c r="S27" t="str">
        <f t="shared" si="2"/>
        <v>Andrenadunningi</v>
      </c>
    </row>
    <row r="28" spans="1:19" x14ac:dyDescent="0.35">
      <c r="B28" s="1" t="str">
        <f t="shared" si="0"/>
        <v>Andrenadistans</v>
      </c>
      <c r="C28" s="1" t="s">
        <v>28</v>
      </c>
      <c r="D28" t="s">
        <v>166</v>
      </c>
      <c r="E28" t="s">
        <v>167</v>
      </c>
      <c r="F28" t="s">
        <v>67</v>
      </c>
      <c r="L28" t="s">
        <v>643</v>
      </c>
      <c r="P28" t="str">
        <f>_xlfn.XLOOKUP("*" &amp; E28 &amp; "*",L:L,L:L, "Not Found in Ohio",2)</f>
        <v>Andrenadistans</v>
      </c>
      <c r="S28" t="str">
        <f t="shared" si="2"/>
        <v>Andrenaerigeniae</v>
      </c>
    </row>
    <row r="29" spans="1:19" x14ac:dyDescent="0.35">
      <c r="B29" s="1" t="str">
        <f t="shared" si="0"/>
        <v>Andrenadunningi</v>
      </c>
      <c r="C29" s="1" t="s">
        <v>28</v>
      </c>
      <c r="D29" t="s">
        <v>75</v>
      </c>
      <c r="E29" t="s">
        <v>148</v>
      </c>
      <c r="L29" t="s">
        <v>644</v>
      </c>
      <c r="P29" t="str">
        <f>_xlfn.XLOOKUP("*" &amp; E29 &amp; "*",L:L,L:L, "Not Found in Ohio",2)</f>
        <v>Andrenadunningi</v>
      </c>
      <c r="S29" t="str">
        <f t="shared" si="2"/>
        <v>Andrenaerythrogaster</v>
      </c>
    </row>
    <row r="30" spans="1:19" x14ac:dyDescent="0.35">
      <c r="B30" s="1" t="str">
        <f t="shared" si="0"/>
        <v>Andrenaerigeniae</v>
      </c>
      <c r="C30" s="1" t="s">
        <v>28</v>
      </c>
      <c r="D30" t="s">
        <v>166</v>
      </c>
      <c r="E30" t="s">
        <v>168</v>
      </c>
      <c r="L30" t="s">
        <v>645</v>
      </c>
      <c r="P30" t="str">
        <f>_xlfn.XLOOKUP("*" &amp; E30 &amp; "*",L:L,L:L, "Not Found in Ohio",2)</f>
        <v>Andrenaerigeniae</v>
      </c>
      <c r="S30" t="str">
        <f t="shared" si="2"/>
        <v>Andrenaerythronii</v>
      </c>
    </row>
    <row r="31" spans="1:19" x14ac:dyDescent="0.35">
      <c r="B31" s="1" t="str">
        <f t="shared" si="0"/>
        <v>Andrenaerythrogaster</v>
      </c>
      <c r="C31" s="1" t="s">
        <v>28</v>
      </c>
      <c r="D31" t="s">
        <v>94</v>
      </c>
      <c r="E31" t="s">
        <v>95</v>
      </c>
      <c r="L31" t="s">
        <v>646</v>
      </c>
      <c r="P31" t="str">
        <f>_xlfn.XLOOKUP("*" &amp; E31 &amp; "*",L:L,L:L, "Not Found in Ohio",2)</f>
        <v>Andrenaerythrogaster</v>
      </c>
      <c r="S31" t="str">
        <f t="shared" si="2"/>
        <v>Not Found in Michigan</v>
      </c>
    </row>
    <row r="32" spans="1:19" x14ac:dyDescent="0.35">
      <c r="B32" s="1" t="str">
        <f t="shared" si="0"/>
        <v>Andrenaerythronii</v>
      </c>
      <c r="C32" s="1" t="s">
        <v>28</v>
      </c>
      <c r="D32" t="s">
        <v>72</v>
      </c>
      <c r="E32" t="s">
        <v>74</v>
      </c>
      <c r="L32" t="s">
        <v>647</v>
      </c>
      <c r="P32" t="str">
        <f>_xlfn.XLOOKUP("*" &amp; E32 &amp; "*",L:L,L:L, "Not Found in Ohio",2)</f>
        <v>Andrenaerythronii</v>
      </c>
      <c r="S32" t="str">
        <f t="shared" si="2"/>
        <v>Andrenaforbesii</v>
      </c>
    </row>
    <row r="33" spans="1:19" x14ac:dyDescent="0.35">
      <c r="B33" s="1" t="str">
        <f t="shared" si="0"/>
        <v/>
      </c>
      <c r="L33" t="s">
        <v>648</v>
      </c>
      <c r="M33" t="s">
        <v>978</v>
      </c>
      <c r="P33" t="str">
        <f>_xlfn.XLOOKUP("*" &amp; E33 &amp; "*",L:L,L:L, "Not Found in Ohio",2)</f>
        <v>Ohio Regional Species pool</v>
      </c>
      <c r="S33" t="str">
        <f t="shared" si="2"/>
        <v>Andrenafragilis</v>
      </c>
    </row>
    <row r="34" spans="1:19" s="3" customFormat="1" x14ac:dyDescent="0.35">
      <c r="B34" s="1" t="str">
        <f t="shared" si="0"/>
        <v>Andrenaforbesii</v>
      </c>
      <c r="C34" s="4" t="s">
        <v>28</v>
      </c>
      <c r="D34" s="3" t="s">
        <v>92</v>
      </c>
      <c r="E34" s="3" t="s">
        <v>187</v>
      </c>
      <c r="L34" t="s">
        <v>649</v>
      </c>
      <c r="P34" t="str">
        <f>_xlfn.XLOOKUP("*" &amp; E34 &amp; "*",L:L,L:L, "Not Found in Ohio",2)</f>
        <v>Andrenaforbesii</v>
      </c>
      <c r="Q34"/>
      <c r="R34"/>
      <c r="S34" t="str">
        <f t="shared" si="2"/>
        <v>Andrenagardineri</v>
      </c>
    </row>
    <row r="35" spans="1:19" s="3" customFormat="1" x14ac:dyDescent="0.35">
      <c r="B35" s="1" t="str">
        <f t="shared" si="0"/>
        <v>Andrenafragilis</v>
      </c>
      <c r="C35" s="4" t="s">
        <v>28</v>
      </c>
      <c r="D35" s="3" t="s">
        <v>61</v>
      </c>
      <c r="E35" s="3" t="s">
        <v>62</v>
      </c>
      <c r="L35" t="s">
        <v>650</v>
      </c>
      <c r="P35" t="str">
        <f>_xlfn.XLOOKUP("*" &amp; E35 &amp; "*",L:L,L:L, "Not Found in Ohio",2)</f>
        <v>Andrenafragilis</v>
      </c>
      <c r="Q35"/>
      <c r="R35"/>
      <c r="S35" t="str">
        <f t="shared" si="2"/>
        <v>Andrenageranii</v>
      </c>
    </row>
    <row r="36" spans="1:19" x14ac:dyDescent="0.35">
      <c r="A36" s="1" t="s">
        <v>27</v>
      </c>
      <c r="B36" s="1" t="str">
        <f t="shared" si="0"/>
        <v>Andrenafrigida</v>
      </c>
      <c r="C36" s="1" t="s">
        <v>28</v>
      </c>
      <c r="D36" t="s">
        <v>29</v>
      </c>
      <c r="E36" s="5" t="s">
        <v>32</v>
      </c>
      <c r="F36" t="s">
        <v>979</v>
      </c>
      <c r="L36" t="s">
        <v>651</v>
      </c>
      <c r="P36" s="5" t="str">
        <f>_xlfn.XLOOKUP("*" &amp; E36 &amp; "*",L:L,L:L, "Not Found in Ohio",2)</f>
        <v>Megachilefrigida</v>
      </c>
      <c r="S36" t="str">
        <f t="shared" si="2"/>
        <v>Andrenahelianthi</v>
      </c>
    </row>
    <row r="37" spans="1:19" s="3" customFormat="1" x14ac:dyDescent="0.35">
      <c r="A37" s="4"/>
      <c r="B37" s="1" t="str">
        <f t="shared" si="0"/>
        <v>Andrenagardineri</v>
      </c>
      <c r="C37" s="4" t="s">
        <v>28</v>
      </c>
      <c r="D37" s="3" t="s">
        <v>977</v>
      </c>
      <c r="E37" s="3" t="s">
        <v>40</v>
      </c>
      <c r="L37" t="s">
        <v>652</v>
      </c>
      <c r="P37" t="str">
        <f>_xlfn.XLOOKUP("*" &amp; E37 &amp; "*",L:L,L:L, "Not Found in Ohio",2)</f>
        <v>Andrenagardineri</v>
      </c>
      <c r="S37" t="str">
        <f t="shared" si="2"/>
        <v>Andrenaheraclei</v>
      </c>
    </row>
    <row r="38" spans="1:19" s="3" customFormat="1" x14ac:dyDescent="0.35">
      <c r="A38" s="4"/>
      <c r="B38" s="1" t="str">
        <f t="shared" si="0"/>
        <v>Andrenageranii</v>
      </c>
      <c r="C38" s="4" t="s">
        <v>28</v>
      </c>
      <c r="D38" s="3" t="s">
        <v>56</v>
      </c>
      <c r="E38" s="3" t="s">
        <v>58</v>
      </c>
      <c r="L38" t="s">
        <v>653</v>
      </c>
      <c r="P38" t="str">
        <f>_xlfn.XLOOKUP("*" &amp; E38 &amp; "*",L:L,L:L, "Not Found in Ohio",2)</f>
        <v>Andrenageranii</v>
      </c>
      <c r="S38" t="str">
        <f t="shared" si="2"/>
        <v>Andrenahilaris</v>
      </c>
    </row>
    <row r="39" spans="1:19" s="3" customFormat="1" x14ac:dyDescent="0.35">
      <c r="A39" s="4"/>
      <c r="B39" s="1" t="str">
        <f t="shared" si="0"/>
        <v>Andrenahelianthi</v>
      </c>
      <c r="C39" s="4" t="s">
        <v>28</v>
      </c>
      <c r="D39" s="3" t="s">
        <v>977</v>
      </c>
      <c r="E39" s="3" t="s">
        <v>41</v>
      </c>
      <c r="L39" t="s">
        <v>654</v>
      </c>
      <c r="P39" t="str">
        <f>_xlfn.XLOOKUP("*" &amp; E39 &amp; "*",L:L,L:L, "Not Found in Ohio",2)</f>
        <v>Andrenahelianthi</v>
      </c>
      <c r="S39" t="str">
        <f t="shared" si="2"/>
        <v>Andrenahippotes</v>
      </c>
    </row>
    <row r="40" spans="1:19" s="3" customFormat="1" x14ac:dyDescent="0.35">
      <c r="B40" s="1" t="str">
        <f t="shared" si="0"/>
        <v>Andrenaheraclei</v>
      </c>
      <c r="C40" s="4" t="s">
        <v>28</v>
      </c>
      <c r="D40" s="3" t="s">
        <v>92</v>
      </c>
      <c r="E40" s="3" t="s">
        <v>188</v>
      </c>
      <c r="L40" t="s">
        <v>655</v>
      </c>
      <c r="P40" t="str">
        <f>_xlfn.XLOOKUP("*" &amp; E40 &amp; "*",L:L,L:L, "Not Found in Ohio",2)</f>
        <v>Andrenaheraclei</v>
      </c>
      <c r="S40" t="str">
        <f t="shared" si="2"/>
        <v>Andrenahirticincta</v>
      </c>
    </row>
    <row r="41" spans="1:19" s="3" customFormat="1" x14ac:dyDescent="0.35">
      <c r="B41" s="1" t="str">
        <f t="shared" si="0"/>
        <v>Andrenahilaris</v>
      </c>
      <c r="C41" s="4" t="s">
        <v>28</v>
      </c>
      <c r="D41" s="3" t="s">
        <v>75</v>
      </c>
      <c r="E41" s="3" t="s">
        <v>149</v>
      </c>
      <c r="L41" t="s">
        <v>656</v>
      </c>
      <c r="P41" t="str">
        <f>_xlfn.XLOOKUP("*" &amp; E41 &amp; "*",L:L,L:L, "Not Found in Ohio",2)</f>
        <v>Andrenahilaris</v>
      </c>
      <c r="S41" t="str">
        <f t="shared" si="2"/>
        <v>Not Found in Michigan</v>
      </c>
    </row>
    <row r="42" spans="1:19" s="3" customFormat="1" x14ac:dyDescent="0.35">
      <c r="B42" s="1" t="str">
        <f t="shared" si="0"/>
        <v>Andrenahippotes</v>
      </c>
      <c r="C42" s="4" t="s">
        <v>28</v>
      </c>
      <c r="D42" s="3" t="s">
        <v>92</v>
      </c>
      <c r="E42" s="3" t="s">
        <v>189</v>
      </c>
      <c r="L42" t="s">
        <v>657</v>
      </c>
      <c r="P42" t="str">
        <f>_xlfn.XLOOKUP("*" &amp; E42 &amp; "*",L:L,L:L, "Not Found in Ohio",2)</f>
        <v>Andrenahippotes</v>
      </c>
      <c r="Q42"/>
      <c r="R42"/>
      <c r="S42" t="str">
        <f t="shared" si="2"/>
        <v>Not Found in Michigan</v>
      </c>
    </row>
    <row r="43" spans="1:19" s="3" customFormat="1" x14ac:dyDescent="0.35">
      <c r="B43" s="1" t="str">
        <f t="shared" si="0"/>
        <v>Andrenahirticincta</v>
      </c>
      <c r="C43" s="4" t="s">
        <v>28</v>
      </c>
      <c r="D43" s="3" t="s">
        <v>46</v>
      </c>
      <c r="E43" s="3" t="s">
        <v>49</v>
      </c>
      <c r="L43" t="s">
        <v>658</v>
      </c>
      <c r="P43" t="str">
        <f>_xlfn.XLOOKUP("*" &amp; E43 &amp; "*",L:L,L:L, "Not Found in Ohio",2)</f>
        <v>Andrenahirticincta</v>
      </c>
      <c r="Q43"/>
      <c r="R43"/>
      <c r="S43" t="str">
        <f t="shared" si="2"/>
        <v>Andrenaillinoiensis</v>
      </c>
    </row>
    <row r="44" spans="1:19" x14ac:dyDescent="0.35">
      <c r="B44" s="1" t="str">
        <f t="shared" si="0"/>
        <v/>
      </c>
      <c r="L44" t="s">
        <v>659</v>
      </c>
      <c r="M44" t="s">
        <v>978</v>
      </c>
      <c r="P44" t="str">
        <f>_xlfn.XLOOKUP("*" &amp; E44 &amp; "*",L:L,L:L, "Not Found in Ohio",2)</f>
        <v>Ohio Regional Species pool</v>
      </c>
      <c r="S44" t="str">
        <f t="shared" si="2"/>
        <v>Andrenaimitatrix</v>
      </c>
    </row>
    <row r="45" spans="1:19" x14ac:dyDescent="0.35">
      <c r="B45" s="1" t="str">
        <f t="shared" si="0"/>
        <v/>
      </c>
      <c r="L45" t="s">
        <v>660</v>
      </c>
      <c r="M45" t="s">
        <v>978</v>
      </c>
      <c r="P45" t="str">
        <f>_xlfn.XLOOKUP("*" &amp; E45 &amp; "*",L:L,L:L, "Not Found in Ohio",2)</f>
        <v>Ohio Regional Species pool</v>
      </c>
      <c r="Q45" s="3"/>
      <c r="R45" s="3"/>
      <c r="S45" t="str">
        <f t="shared" si="2"/>
        <v>Andrenaintegra</v>
      </c>
    </row>
    <row r="46" spans="1:19" s="3" customFormat="1" x14ac:dyDescent="0.35">
      <c r="B46" s="1" t="str">
        <f t="shared" si="0"/>
        <v>Andrenaillinoiensis</v>
      </c>
      <c r="C46" s="4" t="s">
        <v>28</v>
      </c>
      <c r="D46" s="3" t="s">
        <v>154</v>
      </c>
      <c r="E46" s="3" t="s">
        <v>155</v>
      </c>
      <c r="L46" t="s">
        <v>661</v>
      </c>
      <c r="P46" t="str">
        <f>_xlfn.XLOOKUP("*" &amp; E46 &amp; "*",L:L,L:L, "Not Found in Ohio",2)</f>
        <v>Andrenaillinoiensis</v>
      </c>
      <c r="S46" t="str">
        <f t="shared" si="2"/>
        <v>Andrenakrigiana</v>
      </c>
    </row>
    <row r="47" spans="1:19" s="3" customFormat="1" x14ac:dyDescent="0.35">
      <c r="B47" s="1" t="str">
        <f t="shared" si="0"/>
        <v>Andrenaimitatrix</v>
      </c>
      <c r="C47" s="4" t="s">
        <v>28</v>
      </c>
      <c r="D47" s="3" t="s">
        <v>174</v>
      </c>
      <c r="E47" s="3" t="s">
        <v>176</v>
      </c>
      <c r="L47" t="s">
        <v>662</v>
      </c>
      <c r="P47" t="str">
        <f>_xlfn.XLOOKUP("*" &amp; E47 &amp; "*",L:L,L:L, "Not Found in Ohio",2)</f>
        <v>Andrenaimitatrix</v>
      </c>
      <c r="S47" t="str">
        <f t="shared" si="2"/>
        <v>Not Found in Michigan</v>
      </c>
    </row>
    <row r="48" spans="1:19" s="3" customFormat="1" x14ac:dyDescent="0.35">
      <c r="B48" s="1" t="str">
        <f t="shared" si="0"/>
        <v>Andrenaintegra</v>
      </c>
      <c r="C48" s="4" t="s">
        <v>28</v>
      </c>
      <c r="D48" s="3" t="s">
        <v>61</v>
      </c>
      <c r="E48" s="3" t="s">
        <v>63</v>
      </c>
      <c r="L48" t="s">
        <v>663</v>
      </c>
      <c r="P48" t="str">
        <f>_xlfn.XLOOKUP("*" &amp; E48 &amp; "*",L:L,L:L, "Not Found in Ohio",2)</f>
        <v>Andrenaintegra</v>
      </c>
      <c r="S48" t="str">
        <f t="shared" si="2"/>
        <v>Not Found in Michigan</v>
      </c>
    </row>
    <row r="49" spans="2:19" s="3" customFormat="1" x14ac:dyDescent="0.35">
      <c r="B49" s="1" t="str">
        <f t="shared" si="0"/>
        <v>Andrenakrigiana</v>
      </c>
      <c r="C49" s="4" t="s">
        <v>28</v>
      </c>
      <c r="D49" s="3" t="s">
        <v>977</v>
      </c>
      <c r="E49" s="3" t="s">
        <v>42</v>
      </c>
      <c r="L49" t="s">
        <v>664</v>
      </c>
      <c r="P49" t="str">
        <f>_xlfn.XLOOKUP("*" &amp; E49 &amp; "*",L:L,L:L, "Not Found in Ohio",2)</f>
        <v>Andrenakrigiana</v>
      </c>
      <c r="S49" t="str">
        <f t="shared" si="2"/>
        <v>Andrenamandibularis</v>
      </c>
    </row>
    <row r="50" spans="2:19" x14ac:dyDescent="0.35">
      <c r="B50" s="1" t="str">
        <f t="shared" si="0"/>
        <v/>
      </c>
      <c r="L50" t="s">
        <v>665</v>
      </c>
      <c r="M50" t="s">
        <v>978</v>
      </c>
      <c r="P50" t="str">
        <f>_xlfn.XLOOKUP("*" &amp; E50 &amp; "*",L:L,L:L, "Not Found in Ohio",2)</f>
        <v>Ohio Regional Species pool</v>
      </c>
      <c r="S50" t="str">
        <f t="shared" si="2"/>
        <v>Andrenamariae</v>
      </c>
    </row>
    <row r="51" spans="2:19" x14ac:dyDescent="0.35">
      <c r="B51" s="1" t="str">
        <f t="shared" si="0"/>
        <v/>
      </c>
      <c r="L51" t="s">
        <v>666</v>
      </c>
      <c r="M51" t="s">
        <v>978</v>
      </c>
      <c r="P51" t="str">
        <f>_xlfn.XLOOKUP("*" &amp; E51 &amp; "*",L:L,L:L, "Not Found in Ohio",2)</f>
        <v>Ohio Regional Species pool</v>
      </c>
      <c r="S51" t="str">
        <f t="shared" si="2"/>
        <v>Not Found in Michigan</v>
      </c>
    </row>
    <row r="52" spans="2:19" s="3" customFormat="1" x14ac:dyDescent="0.35">
      <c r="B52" s="1" t="str">
        <f t="shared" si="0"/>
        <v>Andrenamandibularis</v>
      </c>
      <c r="C52" s="4" t="s">
        <v>28</v>
      </c>
      <c r="D52" s="3" t="s">
        <v>29</v>
      </c>
      <c r="E52" s="3" t="s">
        <v>33</v>
      </c>
      <c r="L52" t="s">
        <v>667</v>
      </c>
      <c r="P52" t="str">
        <f>_xlfn.XLOOKUP("*" &amp; E52 &amp; "*",L:L,L:L, "Not Found in Ohio",2)</f>
        <v>Andrenamandibularis</v>
      </c>
      <c r="Q52"/>
      <c r="R52"/>
      <c r="S52" t="str">
        <f t="shared" si="2"/>
        <v>Andrenamilwaukeensis</v>
      </c>
    </row>
    <row r="53" spans="2:19" s="3" customFormat="1" x14ac:dyDescent="0.35">
      <c r="B53" s="1" t="str">
        <f t="shared" si="0"/>
        <v>Andrenamariae</v>
      </c>
      <c r="C53" s="4" t="s">
        <v>28</v>
      </c>
      <c r="D53" s="3" t="s">
        <v>92</v>
      </c>
      <c r="E53" s="3" t="s">
        <v>190</v>
      </c>
      <c r="L53" t="s">
        <v>668</v>
      </c>
      <c r="P53" t="str">
        <f>_xlfn.XLOOKUP("*" &amp; E53 &amp; "*",L:L,L:L, "Not Found in Ohio",2)</f>
        <v>Andrenamariae</v>
      </c>
      <c r="S53" t="str">
        <f t="shared" si="2"/>
        <v>Andrenamiranda</v>
      </c>
    </row>
    <row r="54" spans="2:19" x14ac:dyDescent="0.35">
      <c r="B54" s="1" t="str">
        <f t="shared" si="0"/>
        <v/>
      </c>
      <c r="L54" t="s">
        <v>669</v>
      </c>
      <c r="M54" t="s">
        <v>978</v>
      </c>
      <c r="P54" t="str">
        <f>_xlfn.XLOOKUP("*" &amp; E54 &amp; "*",L:L,L:L, "Not Found in Ohio",2)</f>
        <v>Ohio Regional Species pool</v>
      </c>
      <c r="Q54" s="3"/>
      <c r="R54" s="3"/>
      <c r="S54" t="str">
        <f t="shared" si="2"/>
        <v>Andrenamiserabilis</v>
      </c>
    </row>
    <row r="55" spans="2:19" x14ac:dyDescent="0.35">
      <c r="B55" s="1" t="str">
        <f t="shared" si="0"/>
        <v>Andrenamelanochroa</v>
      </c>
      <c r="C55" s="1" t="s">
        <v>28</v>
      </c>
      <c r="D55" t="s">
        <v>154</v>
      </c>
      <c r="E55" s="5" t="s">
        <v>156</v>
      </c>
      <c r="F55" t="s">
        <v>979</v>
      </c>
      <c r="L55" t="s">
        <v>670</v>
      </c>
      <c r="P55" s="5" t="str">
        <f>_xlfn.XLOOKUP("*" &amp; E55 &amp; "*",L:L,L:L, "Not Found in Ohio",2)</f>
        <v>Not Found in Ohio</v>
      </c>
      <c r="Q55" s="3"/>
      <c r="R55" s="3"/>
      <c r="S55" t="str">
        <f t="shared" si="2"/>
        <v>Andrenamorrisonella</v>
      </c>
    </row>
    <row r="56" spans="2:19" s="3" customFormat="1" x14ac:dyDescent="0.35">
      <c r="B56" s="1" t="str">
        <f t="shared" si="0"/>
        <v>Andrenamilwaukeensis</v>
      </c>
      <c r="C56" s="4" t="s">
        <v>28</v>
      </c>
      <c r="D56" s="3" t="s">
        <v>29</v>
      </c>
      <c r="E56" s="3" t="s">
        <v>34</v>
      </c>
      <c r="L56" t="s">
        <v>671</v>
      </c>
      <c r="P56" t="str">
        <f>_xlfn.XLOOKUP("*" &amp; E56 &amp; "*",L:L,L:L, "Not Found in Ohio",2)</f>
        <v>Andrenamilwaukeensis</v>
      </c>
      <c r="S56" t="str">
        <f t="shared" si="2"/>
        <v>Andrenanasonii</v>
      </c>
    </row>
    <row r="57" spans="2:19" s="3" customFormat="1" x14ac:dyDescent="0.35">
      <c r="B57" s="1" t="str">
        <f t="shared" si="0"/>
        <v>Andrenamiranda</v>
      </c>
      <c r="C57" s="4" t="s">
        <v>28</v>
      </c>
      <c r="D57" s="3" t="s">
        <v>92</v>
      </c>
      <c r="E57" s="3" t="s">
        <v>191</v>
      </c>
      <c r="L57" t="s">
        <v>672</v>
      </c>
      <c r="P57" t="str">
        <f>_xlfn.XLOOKUP("*" &amp; E57 &amp; "*",L:L,L:L, "Not Found in Ohio",2)</f>
        <v>Andrenamiranda</v>
      </c>
      <c r="S57" t="str">
        <f t="shared" si="2"/>
        <v>Andrenaneonana</v>
      </c>
    </row>
    <row r="58" spans="2:19" s="3" customFormat="1" x14ac:dyDescent="0.35">
      <c r="B58" s="1" t="str">
        <f t="shared" si="0"/>
        <v>Andrenamiserabilis</v>
      </c>
      <c r="C58" s="4" t="s">
        <v>28</v>
      </c>
      <c r="D58" s="3" t="s">
        <v>70</v>
      </c>
      <c r="E58" s="3" t="s">
        <v>71</v>
      </c>
      <c r="L58" t="s">
        <v>673</v>
      </c>
      <c r="P58" t="str">
        <f>_xlfn.XLOOKUP("*" &amp; E58 &amp; "*",L:L,L:L, "Not Found in Ohio",2)</f>
        <v>Andrenamiserabilis</v>
      </c>
      <c r="Q58"/>
      <c r="R58"/>
      <c r="S58" t="str">
        <f t="shared" si="2"/>
        <v>Andrenanigrae</v>
      </c>
    </row>
    <row r="59" spans="2:19" s="3" customFormat="1" x14ac:dyDescent="0.35">
      <c r="B59" s="1" t="str">
        <f t="shared" si="0"/>
        <v>Andrenamorrisonella</v>
      </c>
      <c r="C59" s="4" t="s">
        <v>28</v>
      </c>
      <c r="D59" s="3" t="s">
        <v>174</v>
      </c>
      <c r="E59" s="3" t="s">
        <v>177</v>
      </c>
      <c r="L59" t="s">
        <v>674</v>
      </c>
      <c r="P59" t="str">
        <f>_xlfn.XLOOKUP("*" &amp; E59 &amp; "*",L:L,L:L, "Not Found in Ohio",2)</f>
        <v>Andrenamorrisonella</v>
      </c>
      <c r="Q59"/>
      <c r="R59"/>
      <c r="S59" t="str">
        <f t="shared" si="2"/>
        <v>Andrenanigrihirta</v>
      </c>
    </row>
    <row r="60" spans="2:19" s="3" customFormat="1" x14ac:dyDescent="0.35">
      <c r="B60" s="1" t="str">
        <f t="shared" si="0"/>
        <v>Andrenanasonii</v>
      </c>
      <c r="C60" s="4" t="s">
        <v>28</v>
      </c>
      <c r="D60" s="3" t="s">
        <v>178</v>
      </c>
      <c r="E60" s="3" t="s">
        <v>179</v>
      </c>
      <c r="L60" t="s">
        <v>675</v>
      </c>
      <c r="P60" t="str">
        <f>_xlfn.XLOOKUP("*" &amp; E60 &amp; "*",L:L,L:L, "Not Found in Ohio",2)</f>
        <v>Andrenanasonii</v>
      </c>
      <c r="Q60"/>
      <c r="R60"/>
      <c r="S60" t="str">
        <f t="shared" si="2"/>
        <v>Andrenanivalis</v>
      </c>
    </row>
    <row r="61" spans="2:19" s="3" customFormat="1" x14ac:dyDescent="0.35">
      <c r="B61" s="1" t="str">
        <f t="shared" si="0"/>
        <v>Andrenaneonana</v>
      </c>
      <c r="C61" s="4" t="s">
        <v>28</v>
      </c>
      <c r="D61" s="3" t="s">
        <v>154</v>
      </c>
      <c r="E61" s="3" t="s">
        <v>157</v>
      </c>
      <c r="L61" t="s">
        <v>676</v>
      </c>
      <c r="P61" t="str">
        <f>_xlfn.XLOOKUP("*" &amp; E61 &amp; "*",L:L,L:L, "Not Found in Ohio",2)</f>
        <v>Andrenaneonana</v>
      </c>
      <c r="S61" t="str">
        <f t="shared" si="2"/>
        <v>Andrenanubecula</v>
      </c>
    </row>
    <row r="62" spans="2:19" s="3" customFormat="1" x14ac:dyDescent="0.35">
      <c r="B62" s="1" t="str">
        <f t="shared" si="0"/>
        <v>Andrenanigrae</v>
      </c>
      <c r="C62" s="4" t="s">
        <v>28</v>
      </c>
      <c r="D62" s="3" t="s">
        <v>154</v>
      </c>
      <c r="E62" s="3" t="s">
        <v>158</v>
      </c>
      <c r="L62" t="s">
        <v>677</v>
      </c>
      <c r="P62" t="str">
        <f>_xlfn.XLOOKUP("*" &amp; E62 &amp; "*",L:L,L:L, "Not Found in Ohio",2)</f>
        <v>Andrenanigrae</v>
      </c>
      <c r="S62" t="str">
        <f t="shared" si="2"/>
        <v>Andrenanuda</v>
      </c>
    </row>
    <row r="63" spans="2:19" s="3" customFormat="1" x14ac:dyDescent="0.35">
      <c r="B63" s="1" t="str">
        <f t="shared" si="0"/>
        <v>Andrenanigrihirta</v>
      </c>
      <c r="C63" s="4" t="s">
        <v>28</v>
      </c>
      <c r="D63" s="3" t="s">
        <v>56</v>
      </c>
      <c r="E63" s="3" t="s">
        <v>59</v>
      </c>
      <c r="L63" t="s">
        <v>678</v>
      </c>
      <c r="P63" t="str">
        <f>_xlfn.XLOOKUP("*" &amp; E63 &amp; "*",L:L,L:L, "Not Found in Ohio",2)</f>
        <v>Andrenanigrihirta</v>
      </c>
      <c r="S63" t="str">
        <f t="shared" si="2"/>
        <v>Andrenaperplexa</v>
      </c>
    </row>
    <row r="64" spans="2:19" s="3" customFormat="1" x14ac:dyDescent="0.35">
      <c r="B64" s="1" t="str">
        <f t="shared" si="0"/>
        <v>Andrenanivalis</v>
      </c>
      <c r="C64" s="4" t="s">
        <v>28</v>
      </c>
      <c r="D64" s="3" t="s">
        <v>75</v>
      </c>
      <c r="E64" s="3" t="s">
        <v>150</v>
      </c>
      <c r="L64" t="s">
        <v>679</v>
      </c>
      <c r="P64" t="str">
        <f>_xlfn.XLOOKUP("*" &amp; E64 &amp; "*",L:L,L:L, "Not Found in Ohio",2)</f>
        <v>Andrenanivalis</v>
      </c>
      <c r="S64" t="str">
        <f t="shared" si="2"/>
        <v>Andrenapersimulata</v>
      </c>
    </row>
    <row r="65" spans="2:19" s="3" customFormat="1" x14ac:dyDescent="0.35">
      <c r="B65" s="1" t="str">
        <f t="shared" si="0"/>
        <v>Andrenanubecula</v>
      </c>
      <c r="C65" s="4" t="s">
        <v>28</v>
      </c>
      <c r="D65" s="3" t="s">
        <v>46</v>
      </c>
      <c r="E65" s="3" t="s">
        <v>50</v>
      </c>
      <c r="L65" t="s">
        <v>680</v>
      </c>
      <c r="P65" t="str">
        <f>_xlfn.XLOOKUP("*" &amp; E65 &amp; "*",L:L,L:L, "Not Found in Ohio",2)</f>
        <v>Andrenanubecula</v>
      </c>
      <c r="S65" t="str">
        <f t="shared" si="2"/>
        <v>Andrenapersonata</v>
      </c>
    </row>
    <row r="66" spans="2:19" s="3" customFormat="1" x14ac:dyDescent="0.35">
      <c r="B66" s="1" t="str">
        <f t="shared" si="0"/>
        <v>Andrenanuda</v>
      </c>
      <c r="C66" s="4" t="s">
        <v>28</v>
      </c>
      <c r="D66" s="3" t="s">
        <v>92</v>
      </c>
      <c r="E66" s="3" t="s">
        <v>192</v>
      </c>
      <c r="L66" t="s">
        <v>681</v>
      </c>
      <c r="P66" t="str">
        <f>_xlfn.XLOOKUP("*" &amp; E66 &amp; "*",L:L,L:L, "Not Found in Ohio",2)</f>
        <v>Andrenanuda</v>
      </c>
      <c r="Q66"/>
      <c r="R66"/>
      <c r="S66" t="str">
        <f t="shared" si="2"/>
        <v>Not Found in Michigan</v>
      </c>
    </row>
    <row r="67" spans="2:19" x14ac:dyDescent="0.35">
      <c r="B67" s="1" t="str">
        <f t="shared" ref="B67:B130" si="3">C67&amp;E67</f>
        <v>Andrenaparnassiae</v>
      </c>
      <c r="C67" s="1" t="s">
        <v>28</v>
      </c>
      <c r="D67" t="s">
        <v>46</v>
      </c>
      <c r="E67" s="5" t="s">
        <v>51</v>
      </c>
      <c r="F67" t="s">
        <v>979</v>
      </c>
      <c r="L67" t="s">
        <v>682</v>
      </c>
      <c r="P67" s="5" t="str">
        <f>_xlfn.XLOOKUP("*" &amp; E67 &amp; "*",L:L,L:L, "Not Found in Ohio",2)</f>
        <v>Not Found in Ohio</v>
      </c>
      <c r="S67" t="str">
        <f t="shared" ref="S67:S130" si="4">_xlfn.XLOOKUP("*"&amp;L67&amp;"*",B:B,B:B,"Not Found in Michigan",2)</f>
        <v>Andrenaplacata</v>
      </c>
    </row>
    <row r="68" spans="2:19" x14ac:dyDescent="0.35">
      <c r="B68" s="1" t="str">
        <f t="shared" si="3"/>
        <v>Andrenapeckhami</v>
      </c>
      <c r="C68" s="1" t="s">
        <v>28</v>
      </c>
      <c r="D68" t="s">
        <v>46</v>
      </c>
      <c r="E68" s="5" t="s">
        <v>52</v>
      </c>
      <c r="F68" t="s">
        <v>979</v>
      </c>
      <c r="L68" t="s">
        <v>683</v>
      </c>
      <c r="P68" s="5" t="str">
        <f>_xlfn.XLOOKUP("*" &amp; E68 &amp; "*",L:L,L:L, "Not Found in Ohio",2)</f>
        <v>Not Found in Ohio</v>
      </c>
      <c r="S68" t="str">
        <f t="shared" si="4"/>
        <v>Andrenaplatyparia</v>
      </c>
    </row>
    <row r="69" spans="2:19" s="3" customFormat="1" x14ac:dyDescent="0.35">
      <c r="B69" s="1" t="str">
        <f t="shared" si="3"/>
        <v>Andrenaperplexa</v>
      </c>
      <c r="C69" s="4" t="s">
        <v>28</v>
      </c>
      <c r="D69" s="3" t="s">
        <v>94</v>
      </c>
      <c r="E69" s="3" t="s">
        <v>96</v>
      </c>
      <c r="L69" t="s">
        <v>684</v>
      </c>
      <c r="P69" t="str">
        <f>_xlfn.XLOOKUP("*" &amp; E69 &amp; "*",L:L,L:L, "Not Found in Ohio",2)</f>
        <v>Andrenaperplexa</v>
      </c>
      <c r="S69" t="str">
        <f t="shared" si="4"/>
        <v>Andrenapolemonii</v>
      </c>
    </row>
    <row r="70" spans="2:19" s="3" customFormat="1" x14ac:dyDescent="0.35">
      <c r="B70" s="1" t="str">
        <f t="shared" si="3"/>
        <v>Andrenapersimulata</v>
      </c>
      <c r="C70" s="4" t="s">
        <v>28</v>
      </c>
      <c r="D70" s="3" t="s">
        <v>61</v>
      </c>
      <c r="E70" s="3" t="s">
        <v>64</v>
      </c>
      <c r="L70" t="s">
        <v>685</v>
      </c>
      <c r="P70" t="str">
        <f>_xlfn.XLOOKUP("*" &amp; E70 &amp; "*",L:L,L:L, "Not Found in Ohio",2)</f>
        <v>Andrenapersimulata</v>
      </c>
      <c r="S70" t="str">
        <f t="shared" si="4"/>
        <v>Andrenapruni</v>
      </c>
    </row>
    <row r="71" spans="2:19" s="3" customFormat="1" x14ac:dyDescent="0.35">
      <c r="B71" s="1" t="str">
        <f t="shared" si="3"/>
        <v>Andrenapersonata</v>
      </c>
      <c r="C71" s="4" t="s">
        <v>28</v>
      </c>
      <c r="D71" s="3" t="s">
        <v>154</v>
      </c>
      <c r="E71" s="3" t="s">
        <v>159</v>
      </c>
      <c r="L71" t="s">
        <v>686</v>
      </c>
      <c r="P71" t="str">
        <f>_xlfn.XLOOKUP("*" &amp; E71 &amp; "*",L:L,L:L, "Not Found in Ohio",2)</f>
        <v>Andrenapersonata</v>
      </c>
      <c r="S71" t="str">
        <f t="shared" si="4"/>
        <v>Andrenarehni</v>
      </c>
    </row>
    <row r="72" spans="2:19" x14ac:dyDescent="0.35">
      <c r="B72" s="1" t="str">
        <f t="shared" si="3"/>
        <v/>
      </c>
      <c r="L72" t="s">
        <v>687</v>
      </c>
      <c r="M72" t="s">
        <v>978</v>
      </c>
      <c r="P72" t="str">
        <f>_xlfn.XLOOKUP("*" &amp; E72 &amp; "*",L:L,L:L, "Not Found in Ohio",2)</f>
        <v>Ohio Regional Species pool</v>
      </c>
      <c r="Q72" s="3"/>
      <c r="R72" s="3"/>
      <c r="S72" t="str">
        <f t="shared" si="4"/>
        <v>Andrenarobertsonii</v>
      </c>
    </row>
    <row r="73" spans="2:19" s="3" customFormat="1" x14ac:dyDescent="0.35">
      <c r="B73" s="1" t="str">
        <f t="shared" si="3"/>
        <v>Andrenaplacata</v>
      </c>
      <c r="C73" s="4" t="s">
        <v>28</v>
      </c>
      <c r="D73" s="3" t="s">
        <v>977</v>
      </c>
      <c r="E73" s="3" t="s">
        <v>43</v>
      </c>
      <c r="L73" t="s">
        <v>688</v>
      </c>
      <c r="P73" t="str">
        <f>_xlfn.XLOOKUP("*" &amp; E73 &amp; "*",L:L,L:L, "Not Found in Ohio",2)</f>
        <v>Andrenaplacata</v>
      </c>
      <c r="S73" t="str">
        <f t="shared" si="4"/>
        <v>Andrenarudbeckiae</v>
      </c>
    </row>
    <row r="74" spans="2:19" s="3" customFormat="1" x14ac:dyDescent="0.35">
      <c r="B74" s="1" t="str">
        <f t="shared" si="3"/>
        <v>Andrenaplatyparia</v>
      </c>
      <c r="C74" s="4" t="s">
        <v>28</v>
      </c>
      <c r="D74" s="3" t="s">
        <v>61</v>
      </c>
      <c r="E74" s="3" t="s">
        <v>65</v>
      </c>
      <c r="L74" t="s">
        <v>689</v>
      </c>
      <c r="P74" t="str">
        <f>_xlfn.XLOOKUP("*" &amp; E74 &amp; "*",L:L,L:L, "Not Found in Ohio",2)</f>
        <v>Andrenaplatyparia</v>
      </c>
      <c r="Q74"/>
      <c r="R74"/>
      <c r="S74" t="str">
        <f t="shared" si="4"/>
        <v>Andrenarugosa</v>
      </c>
    </row>
    <row r="75" spans="2:19" s="3" customFormat="1" x14ac:dyDescent="0.35">
      <c r="B75" s="1" t="str">
        <f t="shared" si="3"/>
        <v>Andrenapolemonii</v>
      </c>
      <c r="C75" s="4" t="s">
        <v>28</v>
      </c>
      <c r="D75" s="3" t="s">
        <v>56</v>
      </c>
      <c r="E75" s="3" t="s">
        <v>60</v>
      </c>
      <c r="L75" t="s">
        <v>690</v>
      </c>
      <c r="P75" t="str">
        <f>_xlfn.XLOOKUP("*" &amp; E75 &amp; "*",L:L,L:L, "Not Found in Ohio",2)</f>
        <v>Andrenapolemonii</v>
      </c>
      <c r="Q75"/>
      <c r="R75"/>
      <c r="S75" t="str">
        <f t="shared" si="4"/>
        <v>Andrenasalictaria</v>
      </c>
    </row>
    <row r="76" spans="2:19" s="3" customFormat="1" x14ac:dyDescent="0.35">
      <c r="B76" s="1" t="str">
        <f t="shared" si="3"/>
        <v>Andrenapruni</v>
      </c>
      <c r="C76" s="6" t="s">
        <v>28</v>
      </c>
      <c r="D76" s="3" t="s">
        <v>75</v>
      </c>
      <c r="E76" s="3" t="s">
        <v>151</v>
      </c>
      <c r="L76" t="s">
        <v>691</v>
      </c>
      <c r="P76" t="str">
        <f>_xlfn.XLOOKUP("*" &amp; E76 &amp; "*",L:L,L:L, "Not Found in Ohio",2)</f>
        <v>Andrenapruni</v>
      </c>
      <c r="Q76"/>
      <c r="R76"/>
      <c r="S76" t="str">
        <f t="shared" si="4"/>
        <v>Andrenasigmundi</v>
      </c>
    </row>
    <row r="77" spans="2:19" x14ac:dyDescent="0.35">
      <c r="B77" s="1" t="str">
        <f t="shared" si="3"/>
        <v>Andrenaregularis</v>
      </c>
      <c r="C77" s="1" t="s">
        <v>28</v>
      </c>
      <c r="D77" t="s">
        <v>75</v>
      </c>
      <c r="E77" s="5" t="s">
        <v>152</v>
      </c>
      <c r="F77" t="s">
        <v>979</v>
      </c>
      <c r="L77" t="s">
        <v>692</v>
      </c>
      <c r="P77" s="5" t="str">
        <f>_xlfn.XLOOKUP("*" &amp; E77 &amp; "*",L:L,L:L, "Not Found in Ohio",2)</f>
        <v>Not Found in Ohio</v>
      </c>
      <c r="Q77" s="3"/>
      <c r="R77" s="3"/>
      <c r="S77" t="str">
        <f t="shared" si="4"/>
        <v>Andrenasimplex</v>
      </c>
    </row>
    <row r="78" spans="2:19" s="3" customFormat="1" x14ac:dyDescent="0.35">
      <c r="B78" s="1" t="str">
        <f t="shared" si="3"/>
        <v>Andrenarehni</v>
      </c>
      <c r="C78" s="4" t="s">
        <v>28</v>
      </c>
      <c r="D78" s="3" t="s">
        <v>92</v>
      </c>
      <c r="E78" s="3" t="s">
        <v>193</v>
      </c>
      <c r="L78" t="s">
        <v>693</v>
      </c>
      <c r="P78" t="str">
        <f>_xlfn.XLOOKUP("*" &amp; E78 &amp; "*",L:L,L:L, "Not Found in Ohio",2)</f>
        <v>Andrenarehni</v>
      </c>
      <c r="S78" t="str">
        <f t="shared" si="4"/>
        <v>Andrenaspiraeana</v>
      </c>
    </row>
    <row r="79" spans="2:19" s="3" customFormat="1" x14ac:dyDescent="0.35">
      <c r="B79" s="1" t="str">
        <f t="shared" si="3"/>
        <v>Andrenarobertsonii</v>
      </c>
      <c r="C79" s="4" t="s">
        <v>28</v>
      </c>
      <c r="D79" s="3" t="s">
        <v>169</v>
      </c>
      <c r="E79" s="3" t="s">
        <v>171</v>
      </c>
      <c r="L79" t="s">
        <v>694</v>
      </c>
      <c r="P79" t="str">
        <f>_xlfn.XLOOKUP("*" &amp; E79 &amp; "*",L:L,L:L, "Not Found in Ohio",2)</f>
        <v>Andrenarobertsonii</v>
      </c>
      <c r="S79" t="str">
        <f t="shared" si="4"/>
        <v>Andrenathaspii</v>
      </c>
    </row>
    <row r="80" spans="2:19" x14ac:dyDescent="0.35">
      <c r="B80" s="1" t="str">
        <f t="shared" si="3"/>
        <v>Andrenarobervalensis</v>
      </c>
      <c r="C80" s="1" t="s">
        <v>28</v>
      </c>
      <c r="D80" t="s">
        <v>46</v>
      </c>
      <c r="E80" s="5" t="s">
        <v>53</v>
      </c>
      <c r="F80" t="s">
        <v>979</v>
      </c>
      <c r="L80" t="s">
        <v>695</v>
      </c>
      <c r="P80" s="5" t="str">
        <f>_xlfn.XLOOKUP("*" &amp; E80 &amp; "*",L:L,L:L, "Not Found in Ohio",2)</f>
        <v>Not Found in Ohio</v>
      </c>
      <c r="Q80" s="3"/>
      <c r="R80" s="3"/>
      <c r="S80" t="str">
        <f t="shared" si="4"/>
        <v>Andrenatridens</v>
      </c>
    </row>
    <row r="81" spans="2:19" s="3" customFormat="1" x14ac:dyDescent="0.35">
      <c r="B81" s="1" t="str">
        <f t="shared" si="3"/>
        <v>Andrenarudbeckiae</v>
      </c>
      <c r="C81" s="4" t="s">
        <v>28</v>
      </c>
      <c r="D81" s="3" t="s">
        <v>977</v>
      </c>
      <c r="E81" s="3" t="s">
        <v>44</v>
      </c>
      <c r="L81" t="s">
        <v>696</v>
      </c>
      <c r="P81" t="str">
        <f>_xlfn.XLOOKUP("*" &amp; E81 &amp; "*",L:L,L:L, "Not Found in Ohio",2)</f>
        <v>Andrenarudbeckiae</v>
      </c>
      <c r="S81" t="str">
        <f t="shared" si="4"/>
        <v>Andrenavicina</v>
      </c>
    </row>
    <row r="82" spans="2:19" x14ac:dyDescent="0.35">
      <c r="B82" s="1" t="str">
        <f t="shared" si="3"/>
        <v>Andrenarufosignata</v>
      </c>
      <c r="C82" s="1" t="s">
        <v>28</v>
      </c>
      <c r="D82" t="s">
        <v>29</v>
      </c>
      <c r="E82" s="5" t="s">
        <v>35</v>
      </c>
      <c r="F82" t="s">
        <v>979</v>
      </c>
      <c r="L82" t="s">
        <v>697</v>
      </c>
      <c r="P82" s="5" t="str">
        <f>_xlfn.XLOOKUP("*" &amp; E82 &amp; "*",L:L,L:L, "Not Found in Ohio",2)</f>
        <v>Not Found in Ohio</v>
      </c>
      <c r="S82" t="str">
        <f t="shared" si="4"/>
        <v>Andrenaviolae</v>
      </c>
    </row>
    <row r="83" spans="2:19" s="3" customFormat="1" x14ac:dyDescent="0.35">
      <c r="B83" s="1" t="str">
        <f t="shared" si="3"/>
        <v>Andrenarugosa</v>
      </c>
      <c r="C83" s="4" t="s">
        <v>28</v>
      </c>
      <c r="D83" s="3" t="s">
        <v>92</v>
      </c>
      <c r="E83" s="3" t="s">
        <v>194</v>
      </c>
      <c r="L83" t="s">
        <v>698</v>
      </c>
      <c r="P83" t="str">
        <f>_xlfn.XLOOKUP("*" &amp; E83 &amp; "*",L:L,L:L, "Not Found in Ohio",2)</f>
        <v>Andrenarugosa</v>
      </c>
      <c r="Q83"/>
      <c r="R83"/>
      <c r="S83" t="str">
        <f t="shared" si="4"/>
        <v>Andrenawilkella</v>
      </c>
    </row>
    <row r="84" spans="2:19" s="3" customFormat="1" x14ac:dyDescent="0.35">
      <c r="B84" s="1" t="str">
        <f t="shared" si="3"/>
        <v>Andrenasalictaria</v>
      </c>
      <c r="C84" s="4" t="s">
        <v>28</v>
      </c>
      <c r="D84" s="3" t="s">
        <v>154</v>
      </c>
      <c r="E84" s="3" t="s">
        <v>160</v>
      </c>
      <c r="L84" t="s">
        <v>699</v>
      </c>
      <c r="P84" t="str">
        <f>_xlfn.XLOOKUP("*" &amp; E84 &amp; "*",L:L,L:L, "Not Found in Ohio",2)</f>
        <v>Andrenasalictaria</v>
      </c>
      <c r="Q84"/>
      <c r="R84"/>
      <c r="S84" t="str">
        <f t="shared" si="4"/>
        <v>Andrenawilmattae</v>
      </c>
    </row>
    <row r="85" spans="2:19" s="3" customFormat="1" x14ac:dyDescent="0.35">
      <c r="B85" s="1" t="str">
        <f t="shared" si="3"/>
        <v>Andrenasigmundi</v>
      </c>
      <c r="C85" s="4" t="s">
        <v>28</v>
      </c>
      <c r="D85" s="3" t="s">
        <v>92</v>
      </c>
      <c r="E85" s="3" t="s">
        <v>195</v>
      </c>
      <c r="L85" t="s">
        <v>700</v>
      </c>
      <c r="P85" t="str">
        <f>_xlfn.XLOOKUP("*" &amp; E85 &amp; "*",L:L,L:L, "Not Found in Ohio",2)</f>
        <v>Andrenasigmundi</v>
      </c>
      <c r="S85" t="str">
        <f t="shared" si="4"/>
        <v>Andrenaziziae</v>
      </c>
    </row>
    <row r="86" spans="2:19" s="3" customFormat="1" x14ac:dyDescent="0.35">
      <c r="B86" s="1" t="str">
        <f t="shared" si="3"/>
        <v>Andrenasimplex</v>
      </c>
      <c r="C86" s="4" t="s">
        <v>28</v>
      </c>
      <c r="D86" s="3" t="s">
        <v>977</v>
      </c>
      <c r="E86" s="3" t="s">
        <v>45</v>
      </c>
      <c r="L86" t="s">
        <v>701</v>
      </c>
      <c r="P86" t="str">
        <f>_xlfn.XLOOKUP("*" &amp; E86 &amp; "*",L:L,L:L, "Not Found in Ohio",2)</f>
        <v>Andrenasimplex</v>
      </c>
      <c r="S86" t="str">
        <f t="shared" si="4"/>
        <v>Not Found in Michigan</v>
      </c>
    </row>
    <row r="87" spans="2:19" s="3" customFormat="1" x14ac:dyDescent="0.35">
      <c r="B87" s="1" t="str">
        <f t="shared" si="3"/>
        <v>Andrenaspiraeana</v>
      </c>
      <c r="C87" s="4" t="s">
        <v>28</v>
      </c>
      <c r="D87" s="3" t="s">
        <v>92</v>
      </c>
      <c r="E87" s="3" t="s">
        <v>196</v>
      </c>
      <c r="P87" t="str">
        <f>_xlfn.XLOOKUP("*" &amp; E87 &amp; "*",L:L,L:L, "Not Found in Ohio",2)</f>
        <v>Andrenaspiraeana</v>
      </c>
      <c r="S87" t="str">
        <f t="shared" si="4"/>
        <v>Genus and species</v>
      </c>
    </row>
    <row r="88" spans="2:19" s="3" customFormat="1" x14ac:dyDescent="0.35">
      <c r="B88" s="1" t="str">
        <f t="shared" si="3"/>
        <v>Andrenathaspii</v>
      </c>
      <c r="C88" s="4" t="s">
        <v>28</v>
      </c>
      <c r="D88" s="3" t="s">
        <v>29</v>
      </c>
      <c r="E88" s="3" t="s">
        <v>36</v>
      </c>
      <c r="P88" t="str">
        <f>_xlfn.XLOOKUP("*" &amp; E88 &amp; "*",L:L,L:L, "Not Found in Ohio",2)</f>
        <v>Andrenathaspii</v>
      </c>
      <c r="S88" t="str">
        <f t="shared" si="4"/>
        <v>Genus and species</v>
      </c>
    </row>
    <row r="89" spans="2:19" s="3" customFormat="1" x14ac:dyDescent="0.35">
      <c r="B89" s="1" t="str">
        <f t="shared" si="3"/>
        <v>Andrenatridens</v>
      </c>
      <c r="C89" s="4" t="s">
        <v>28</v>
      </c>
      <c r="D89" s="3" t="s">
        <v>29</v>
      </c>
      <c r="E89" s="3" t="s">
        <v>37</v>
      </c>
      <c r="P89" t="str">
        <f>_xlfn.XLOOKUP("*" &amp; E89 &amp; "*",L:L,L:L, "Not Found in Ohio",2)</f>
        <v>Andrenatridens</v>
      </c>
      <c r="S89" t="str">
        <f t="shared" si="4"/>
        <v>Genus and species</v>
      </c>
    </row>
    <row r="90" spans="2:19" s="3" customFormat="1" x14ac:dyDescent="0.35">
      <c r="B90" s="1" t="str">
        <f t="shared" si="3"/>
        <v>Andrenavicina</v>
      </c>
      <c r="C90" s="4" t="s">
        <v>28</v>
      </c>
      <c r="D90" s="3" t="s">
        <v>75</v>
      </c>
      <c r="E90" s="3" t="s">
        <v>153</v>
      </c>
      <c r="P90" t="str">
        <f>_xlfn.XLOOKUP("*" &amp; E90 &amp; "*",L:L,L:L, "Not Found in Ohio",2)</f>
        <v>Andrenavicina</v>
      </c>
      <c r="Q90"/>
      <c r="R90"/>
      <c r="S90" t="str">
        <f t="shared" si="4"/>
        <v>Genus and species</v>
      </c>
    </row>
    <row r="91" spans="2:19" s="3" customFormat="1" x14ac:dyDescent="0.35">
      <c r="B91" s="1" t="str">
        <f t="shared" si="3"/>
        <v>Andrenaviolae</v>
      </c>
      <c r="C91" s="4" t="s">
        <v>28</v>
      </c>
      <c r="D91" s="3" t="s">
        <v>68</v>
      </c>
      <c r="E91" s="3" t="s">
        <v>69</v>
      </c>
      <c r="P91" t="str">
        <f>_xlfn.XLOOKUP("*" &amp; E91 &amp; "*",L:L,L:L, "Not Found in Ohio",2)</f>
        <v>Andrenaviolae</v>
      </c>
      <c r="Q91"/>
      <c r="R91"/>
      <c r="S91" t="str">
        <f t="shared" si="4"/>
        <v>Genus and species</v>
      </c>
    </row>
    <row r="92" spans="2:19" x14ac:dyDescent="0.35">
      <c r="B92" s="1" t="str">
        <f t="shared" si="3"/>
        <v>Andrenavirginiana</v>
      </c>
      <c r="C92" s="1" t="s">
        <v>28</v>
      </c>
      <c r="D92" t="s">
        <v>92</v>
      </c>
      <c r="E92" s="5" t="s">
        <v>93</v>
      </c>
      <c r="F92" t="s">
        <v>979</v>
      </c>
      <c r="P92" s="5" t="str">
        <f>_xlfn.XLOOKUP("*" &amp; E92 &amp; "*",L:L,L:L, "Not Found in Ohio",2)</f>
        <v>Not Found in Ohio</v>
      </c>
      <c r="S92" t="str">
        <f t="shared" si="4"/>
        <v>Genus and species</v>
      </c>
    </row>
    <row r="93" spans="2:19" x14ac:dyDescent="0.35">
      <c r="B93" s="1" t="str">
        <f t="shared" si="3"/>
        <v>Andrenawellesleyana</v>
      </c>
      <c r="C93" s="1" t="s">
        <v>28</v>
      </c>
      <c r="D93" t="s">
        <v>162</v>
      </c>
      <c r="E93" s="5" t="s">
        <v>163</v>
      </c>
      <c r="F93" t="s">
        <v>979</v>
      </c>
      <c r="P93" s="5" t="str">
        <f>_xlfn.XLOOKUP("*" &amp; E93 &amp; "*",L:L,L:L, "Not Found in Ohio",2)</f>
        <v>Not Found in Ohio</v>
      </c>
      <c r="Q93" s="3"/>
      <c r="R93" s="3"/>
      <c r="S93" t="str">
        <f t="shared" si="4"/>
        <v>Genus and species</v>
      </c>
    </row>
    <row r="94" spans="2:19" x14ac:dyDescent="0.35">
      <c r="B94" s="1" t="str">
        <f t="shared" si="3"/>
        <v>Andrenawheeleri</v>
      </c>
      <c r="C94" s="1" t="s">
        <v>28</v>
      </c>
      <c r="D94" t="s">
        <v>178</v>
      </c>
      <c r="E94" s="5" t="s">
        <v>180</v>
      </c>
      <c r="F94" t="s">
        <v>979</v>
      </c>
      <c r="P94" s="5" t="str">
        <f>_xlfn.XLOOKUP("*" &amp; E94 &amp; "*",L:L,L:L, "Not Found in Ohio",2)</f>
        <v>Melissodeswheeleri</v>
      </c>
      <c r="Q94" s="3"/>
      <c r="R94" s="3"/>
      <c r="S94" t="str">
        <f t="shared" si="4"/>
        <v>Genus and species</v>
      </c>
    </row>
    <row r="95" spans="2:19" s="3" customFormat="1" x14ac:dyDescent="0.35">
      <c r="B95" s="1" t="str">
        <f t="shared" si="3"/>
        <v>Andrenawilkella</v>
      </c>
      <c r="C95" s="4" t="s">
        <v>28</v>
      </c>
      <c r="D95" s="3" t="s">
        <v>181</v>
      </c>
      <c r="E95" s="3" t="s">
        <v>182</v>
      </c>
      <c r="P95" t="str">
        <f>_xlfn.XLOOKUP("*" &amp; E95 &amp; "*",L:L,L:L, "Not Found in Ohio",2)</f>
        <v>Andrenawilkella</v>
      </c>
      <c r="S95" t="str">
        <f t="shared" si="4"/>
        <v>Genus and species</v>
      </c>
    </row>
    <row r="96" spans="2:19" s="3" customFormat="1" x14ac:dyDescent="0.35">
      <c r="B96" s="1" t="str">
        <f t="shared" si="3"/>
        <v>Andrenawilmattae</v>
      </c>
      <c r="C96" s="4" t="s">
        <v>28</v>
      </c>
      <c r="D96" s="3" t="s">
        <v>94</v>
      </c>
      <c r="E96" s="3" t="s">
        <v>97</v>
      </c>
      <c r="P96" t="str">
        <f>_xlfn.XLOOKUP("*" &amp; E96 &amp; "*",L:L,L:L, "Not Found in Ohio",2)</f>
        <v>Andrenawilmattae</v>
      </c>
      <c r="S96" t="str">
        <f t="shared" si="4"/>
        <v>Genus and species</v>
      </c>
    </row>
    <row r="97" spans="1:22" x14ac:dyDescent="0.35">
      <c r="B97" s="1" t="str">
        <f t="shared" si="3"/>
        <v>Andrenaw-scripta</v>
      </c>
      <c r="C97" s="1" t="s">
        <v>28</v>
      </c>
      <c r="D97" t="s">
        <v>183</v>
      </c>
      <c r="E97" s="5" t="s">
        <v>185</v>
      </c>
      <c r="F97" t="s">
        <v>979</v>
      </c>
      <c r="P97" s="5" t="str">
        <f>_xlfn.XLOOKUP("*" &amp; E97 &amp; "*",L:L,L:L, "Not Found in Ohio",2)</f>
        <v>Not Found in Ohio</v>
      </c>
      <c r="Q97" s="3"/>
      <c r="R97" s="3"/>
      <c r="S97" t="str">
        <f t="shared" si="4"/>
        <v>Genus and species</v>
      </c>
    </row>
    <row r="98" spans="1:22" s="3" customFormat="1" x14ac:dyDescent="0.35">
      <c r="B98" s="1" t="str">
        <f t="shared" si="3"/>
        <v>Andrenaziziae</v>
      </c>
      <c r="C98" s="4" t="s">
        <v>28</v>
      </c>
      <c r="D98" s="3" t="s">
        <v>154</v>
      </c>
      <c r="E98" s="3" t="s">
        <v>161</v>
      </c>
      <c r="P98" t="str">
        <f>_xlfn.XLOOKUP("*" &amp; E98 &amp; "*",L:L,L:L, "Not Found in Ohio",2)</f>
        <v>Andrenaziziae</v>
      </c>
      <c r="Q98"/>
      <c r="R98"/>
      <c r="S98" t="str">
        <f t="shared" si="4"/>
        <v>Genus and species</v>
      </c>
    </row>
    <row r="99" spans="1:22" x14ac:dyDescent="0.35">
      <c r="B99" s="1" t="str">
        <f t="shared" si="3"/>
        <v/>
      </c>
      <c r="L99" t="s">
        <v>702</v>
      </c>
      <c r="M99" t="s">
        <v>978</v>
      </c>
      <c r="P99" t="str">
        <f>_xlfn.XLOOKUP("*" &amp; E99 &amp; "*",L:L,L:L, "Not Found in Ohio",2)</f>
        <v>Ohio Regional Species pool</v>
      </c>
      <c r="S99" t="str">
        <f t="shared" si="4"/>
        <v>Anthidiellumnotatum</v>
      </c>
    </row>
    <row r="100" spans="1:22" x14ac:dyDescent="0.35">
      <c r="B100" s="1" t="str">
        <f t="shared" si="3"/>
        <v/>
      </c>
      <c r="L100" t="s">
        <v>703</v>
      </c>
      <c r="M100" t="s">
        <v>978</v>
      </c>
      <c r="P100" t="str">
        <f>_xlfn.XLOOKUP("*" &amp; E100 &amp; "*",L:L,L:L, "Not Found in Ohio",2)</f>
        <v>Ohio Regional Species pool</v>
      </c>
      <c r="S100" t="str">
        <f t="shared" si="4"/>
        <v>Anthidiummanicatum</v>
      </c>
      <c r="V100" t="s">
        <v>984</v>
      </c>
    </row>
    <row r="101" spans="1:22" x14ac:dyDescent="0.35">
      <c r="B101" s="1" t="str">
        <f t="shared" si="3"/>
        <v/>
      </c>
      <c r="L101" t="s">
        <v>704</v>
      </c>
      <c r="M101" t="s">
        <v>978</v>
      </c>
      <c r="P101" t="str">
        <f>_xlfn.XLOOKUP("*" &amp; E101 &amp; "*",L:L,L:L, "Not Found in Ohio",2)</f>
        <v>Ohio Regional Species pool</v>
      </c>
      <c r="Q101" s="3"/>
      <c r="R101" s="3"/>
      <c r="S101" t="str">
        <f t="shared" si="4"/>
        <v>Anthidiumoblongatum</v>
      </c>
      <c r="V101" t="s">
        <v>984</v>
      </c>
    </row>
    <row r="102" spans="1:22" x14ac:dyDescent="0.35">
      <c r="B102" s="1" t="str">
        <f t="shared" si="3"/>
        <v/>
      </c>
      <c r="L102" s="5"/>
      <c r="M102" t="s">
        <v>978</v>
      </c>
      <c r="P102" t="str">
        <f>_xlfn.XLOOKUP("*" &amp; E102 &amp; "*",L:L,L:L, "Not Found in Ohio",2)</f>
        <v>Ohio Regional Species pool</v>
      </c>
      <c r="Q102" s="3"/>
      <c r="R102" s="3"/>
      <c r="S102" t="str">
        <f t="shared" si="4"/>
        <v>Genus and species</v>
      </c>
      <c r="V102" t="s">
        <v>984</v>
      </c>
    </row>
    <row r="103" spans="1:22" x14ac:dyDescent="0.35">
      <c r="B103" s="1" t="str">
        <f t="shared" si="3"/>
        <v/>
      </c>
      <c r="P103" t="str">
        <f>_xlfn.XLOOKUP("*" &amp; E103 &amp; "*",L:L,L:L, "Not Found in Ohio",2)</f>
        <v>Ohio Regional Species pool</v>
      </c>
      <c r="Q103" s="3"/>
      <c r="R103" s="3"/>
      <c r="S103" t="str">
        <f t="shared" si="4"/>
        <v>Genus and species</v>
      </c>
    </row>
    <row r="104" spans="1:22" x14ac:dyDescent="0.35">
      <c r="B104" s="1" t="str">
        <f t="shared" si="3"/>
        <v/>
      </c>
      <c r="P104" t="str">
        <f>_xlfn.XLOOKUP("*" &amp; E104 &amp; "*",L:L,L:L, "Not Found in Ohio",2)</f>
        <v>Ohio Regional Species pool</v>
      </c>
      <c r="Q104" s="3"/>
      <c r="R104" s="3"/>
      <c r="S104" t="str">
        <f t="shared" si="4"/>
        <v>Genus and species</v>
      </c>
    </row>
    <row r="105" spans="1:22" x14ac:dyDescent="0.35">
      <c r="A105" s="1" t="s">
        <v>20</v>
      </c>
      <c r="B105" s="1" t="str">
        <f t="shared" si="3"/>
        <v>Anthidiellumnotatum</v>
      </c>
      <c r="C105" s="1" t="s">
        <v>490</v>
      </c>
      <c r="D105" t="s">
        <v>491</v>
      </c>
      <c r="E105" s="5" t="s">
        <v>492</v>
      </c>
      <c r="F105" t="s">
        <v>493</v>
      </c>
      <c r="G105" t="s">
        <v>979</v>
      </c>
      <c r="P105" t="str">
        <f>_xlfn.XLOOKUP("*" &amp; E105 &amp; "*",L:L,L:L, "Not Found in Ohio",2)</f>
        <v>Anthidiellumnotatum</v>
      </c>
      <c r="Q105" s="3"/>
      <c r="R105" s="3"/>
      <c r="S105" t="str">
        <f t="shared" si="4"/>
        <v>Genus and species</v>
      </c>
    </row>
    <row r="106" spans="1:22" x14ac:dyDescent="0.35">
      <c r="B106" s="1" t="str">
        <f t="shared" si="3"/>
        <v>Anthidiellumnotatum</v>
      </c>
      <c r="C106" s="2" t="s">
        <v>490</v>
      </c>
      <c r="D106" t="s">
        <v>491</v>
      </c>
      <c r="E106" s="5" t="s">
        <v>492</v>
      </c>
      <c r="F106" t="s">
        <v>492</v>
      </c>
      <c r="G106" t="s">
        <v>979</v>
      </c>
      <c r="P106" t="str">
        <f>_xlfn.XLOOKUP("*" &amp; E106 &amp; "*",L:L,L:L, "Not Found in Ohio",2)</f>
        <v>Anthidiellumnotatum</v>
      </c>
      <c r="S106" t="str">
        <f t="shared" si="4"/>
        <v>Genus and species</v>
      </c>
    </row>
    <row r="107" spans="1:22" x14ac:dyDescent="0.35">
      <c r="B107" s="1" t="str">
        <f t="shared" si="3"/>
        <v>Anthidiummanicatum</v>
      </c>
      <c r="C107" s="1" t="s">
        <v>494</v>
      </c>
      <c r="D107" t="s">
        <v>495</v>
      </c>
      <c r="E107" s="5" t="s">
        <v>496</v>
      </c>
      <c r="F107" t="s">
        <v>496</v>
      </c>
      <c r="G107" t="s">
        <v>979</v>
      </c>
      <c r="P107" t="str">
        <f>_xlfn.XLOOKUP("*" &amp; E107 &amp; "*",L:L,L:L, "Not Found in Ohio",2)</f>
        <v>Anthidiummanicatum</v>
      </c>
      <c r="S107" t="str">
        <f t="shared" si="4"/>
        <v>Genus and species</v>
      </c>
    </row>
    <row r="108" spans="1:22" x14ac:dyDescent="0.35">
      <c r="B108" s="1" t="str">
        <f t="shared" si="3"/>
        <v>Anthidiumpsoraleae</v>
      </c>
      <c r="C108" s="1" t="s">
        <v>494</v>
      </c>
      <c r="D108" t="s">
        <v>495</v>
      </c>
      <c r="E108" s="5" t="s">
        <v>497</v>
      </c>
      <c r="P108" s="5" t="str">
        <f>_xlfn.XLOOKUP("*" &amp; E108 &amp; "*",L:L,L:L, "Not Found in Ohio",2)</f>
        <v>Not Found in Ohio</v>
      </c>
      <c r="S108" t="str">
        <f t="shared" si="4"/>
        <v>Genus and species</v>
      </c>
    </row>
    <row r="109" spans="1:22" x14ac:dyDescent="0.35">
      <c r="B109" s="1" t="str">
        <f t="shared" si="3"/>
        <v>Anthidiumtenuiflorae</v>
      </c>
      <c r="C109" s="1" t="s">
        <v>494</v>
      </c>
      <c r="D109" t="s">
        <v>495</v>
      </c>
      <c r="E109" s="5" t="s">
        <v>498</v>
      </c>
      <c r="P109" s="5" t="str">
        <f>_xlfn.XLOOKUP("*" &amp; E109 &amp; "*",L:L,L:L, "Not Found in Ohio",2)</f>
        <v>Not Found in Ohio</v>
      </c>
      <c r="Q109" s="3"/>
      <c r="R109" s="3"/>
      <c r="S109" t="str">
        <f t="shared" si="4"/>
        <v>Genus and species</v>
      </c>
    </row>
    <row r="110" spans="1:22" x14ac:dyDescent="0.35">
      <c r="B110" s="1" t="str">
        <f t="shared" si="3"/>
        <v>Anthidiumoblongatum</v>
      </c>
      <c r="C110" s="1" t="s">
        <v>494</v>
      </c>
      <c r="D110" t="s">
        <v>499</v>
      </c>
      <c r="E110" s="5" t="s">
        <v>500</v>
      </c>
      <c r="F110" t="s">
        <v>500</v>
      </c>
      <c r="G110" t="s">
        <v>979</v>
      </c>
      <c r="P110" t="str">
        <f>_xlfn.XLOOKUP("*" &amp; E110 &amp; "*",L:L,L:L, "Not Found in Ohio",2)</f>
        <v>Anthidiumoblongatum</v>
      </c>
      <c r="Q110" s="3"/>
      <c r="R110" s="3"/>
      <c r="S110" t="str">
        <f t="shared" si="4"/>
        <v>Genus and species</v>
      </c>
    </row>
    <row r="111" spans="1:22" s="3" customFormat="1" x14ac:dyDescent="0.35">
      <c r="A111" s="4" t="s">
        <v>87</v>
      </c>
      <c r="B111" s="1" t="str">
        <f>C111&amp;E111</f>
        <v>Anthophoraterminalis</v>
      </c>
      <c r="C111" s="4" t="s">
        <v>124</v>
      </c>
      <c r="D111" s="3" t="s">
        <v>125</v>
      </c>
      <c r="E111" s="3" t="s">
        <v>126</v>
      </c>
      <c r="L111" t="s">
        <v>705</v>
      </c>
      <c r="P111" t="str">
        <f>_xlfn.XLOOKUP("*" &amp; E111 &amp; "*",L:L,L:L, "Not Found in Ohio",2)</f>
        <v>Anthophoraterminalis</v>
      </c>
      <c r="Q111"/>
      <c r="R111"/>
      <c r="S111" t="str">
        <f t="shared" si="4"/>
        <v>Anthophoraabrupta</v>
      </c>
    </row>
    <row r="112" spans="1:22" s="3" customFormat="1" x14ac:dyDescent="0.35">
      <c r="A112" s="4" t="s">
        <v>88</v>
      </c>
      <c r="B112" s="1" t="str">
        <f t="shared" ref="B112:B114" si="5">C112&amp;E112</f>
        <v>Anthophoraabrupta</v>
      </c>
      <c r="C112" s="4" t="s">
        <v>124</v>
      </c>
      <c r="D112" s="3" t="s">
        <v>127</v>
      </c>
      <c r="E112" s="3" t="s">
        <v>128</v>
      </c>
      <c r="L112" t="s">
        <v>706</v>
      </c>
      <c r="P112" t="str">
        <f>_xlfn.XLOOKUP("*" &amp; E112 &amp; "*",L:L,L:L, "Not Found in Ohio",2)</f>
        <v>Anthophoraabrupta</v>
      </c>
      <c r="Q112"/>
      <c r="R112"/>
      <c r="S112" t="str">
        <f t="shared" si="4"/>
        <v>Anthophorabomboides</v>
      </c>
    </row>
    <row r="113" spans="1:22" s="3" customFormat="1" x14ac:dyDescent="0.35">
      <c r="A113" s="4" t="s">
        <v>89</v>
      </c>
      <c r="B113" s="1" t="str">
        <f t="shared" si="5"/>
        <v>Anthophorabomboides</v>
      </c>
      <c r="C113" s="4" t="s">
        <v>124</v>
      </c>
      <c r="D113" s="3" t="s">
        <v>127</v>
      </c>
      <c r="E113" s="3" t="s">
        <v>129</v>
      </c>
      <c r="L113" t="s">
        <v>707</v>
      </c>
      <c r="P113" t="str">
        <f>_xlfn.XLOOKUP("*" &amp; E113 &amp; "*",L:L,L:L, "Not Found in Ohio",2)</f>
        <v>Anthophorabomboides</v>
      </c>
      <c r="Q113"/>
      <c r="R113"/>
      <c r="S113" t="str">
        <f t="shared" si="4"/>
        <v>Anthophoraterminalis</v>
      </c>
    </row>
    <row r="114" spans="1:22" s="3" customFormat="1" x14ac:dyDescent="0.35">
      <c r="A114" s="4"/>
      <c r="B114" s="1" t="str">
        <f t="shared" si="5"/>
        <v>Anthophorawalshii</v>
      </c>
      <c r="C114" s="4" t="s">
        <v>124</v>
      </c>
      <c r="D114" s="3" t="s">
        <v>130</v>
      </c>
      <c r="E114" s="3" t="s">
        <v>131</v>
      </c>
      <c r="L114" t="s">
        <v>708</v>
      </c>
      <c r="P114" t="str">
        <f>_xlfn.XLOOKUP("*" &amp; E114 &amp; "*",L:L,L:L, "Not Found in Ohio",2)</f>
        <v>Anthophorawalshii</v>
      </c>
      <c r="Q114"/>
      <c r="R114"/>
      <c r="S114" t="str">
        <f t="shared" si="4"/>
        <v>Not Found in Michigan</v>
      </c>
    </row>
    <row r="115" spans="1:22" x14ac:dyDescent="0.35">
      <c r="A115" s="1"/>
      <c r="B115" s="1" t="str">
        <f t="shared" si="3"/>
        <v/>
      </c>
      <c r="C115" s="1"/>
      <c r="L115" t="s">
        <v>709</v>
      </c>
      <c r="P115" t="str">
        <f>_xlfn.XLOOKUP("*" &amp; E115 &amp; "*",L:L,L:L, "Not Found in Ohio",2)</f>
        <v>Ohio Regional Species pool</v>
      </c>
      <c r="S115" t="str">
        <f t="shared" si="4"/>
        <v>Anthophorawalshii</v>
      </c>
      <c r="V115" t="s">
        <v>985</v>
      </c>
    </row>
    <row r="116" spans="1:22" x14ac:dyDescent="0.35">
      <c r="A116" s="1"/>
      <c r="B116" s="1" t="str">
        <f t="shared" si="3"/>
        <v/>
      </c>
      <c r="C116" s="1"/>
      <c r="L116" s="5"/>
      <c r="P116" t="str">
        <f>_xlfn.XLOOKUP("*" &amp; E116 &amp; "*",L:L,L:L, "Not Found in Ohio",2)</f>
        <v>Ohio Regional Species pool</v>
      </c>
      <c r="S116" t="str">
        <f t="shared" si="4"/>
        <v>Genus and species</v>
      </c>
    </row>
    <row r="117" spans="1:22" s="3" customFormat="1" x14ac:dyDescent="0.35">
      <c r="A117" s="4" t="s">
        <v>90</v>
      </c>
      <c r="B117" s="1" t="str">
        <f t="shared" si="3"/>
        <v>Apismellifera</v>
      </c>
      <c r="C117" s="4" t="s">
        <v>134</v>
      </c>
      <c r="D117" s="3" t="s">
        <v>135</v>
      </c>
      <c r="E117" s="3" t="s">
        <v>136</v>
      </c>
      <c r="F117" s="3" t="s">
        <v>137</v>
      </c>
      <c r="L117" t="s">
        <v>710</v>
      </c>
      <c r="P117" t="str">
        <f>_xlfn.XLOOKUP("*" &amp; E117 &amp; "*",L:L,L:L, "Not Found in Ohio",2)</f>
        <v>Apismellifera</v>
      </c>
      <c r="Q117"/>
      <c r="R117"/>
      <c r="S117" t="str">
        <f t="shared" si="4"/>
        <v>Apismellifera</v>
      </c>
    </row>
    <row r="118" spans="1:22" x14ac:dyDescent="0.35">
      <c r="A118" t="s">
        <v>23</v>
      </c>
      <c r="B118" s="1" t="str">
        <f t="shared" si="3"/>
        <v>Ashmeadiellabucconis</v>
      </c>
      <c r="C118" t="s">
        <v>567</v>
      </c>
      <c r="D118" t="s">
        <v>568</v>
      </c>
      <c r="E118" t="s">
        <v>569</v>
      </c>
      <c r="F118" s="5" t="s">
        <v>569</v>
      </c>
      <c r="G118" t="s">
        <v>979</v>
      </c>
      <c r="P118" t="str">
        <f>_xlfn.XLOOKUP("*" &amp; E118 &amp; "*",L:L,L:L, "Not Found in Ohio",2)</f>
        <v>Not Found in Ohio</v>
      </c>
      <c r="S118" t="str">
        <f t="shared" si="4"/>
        <v>Genus and species</v>
      </c>
    </row>
    <row r="119" spans="1:22" s="3" customFormat="1" x14ac:dyDescent="0.35">
      <c r="A119" s="4" t="s">
        <v>12</v>
      </c>
      <c r="B119" s="1" t="str">
        <f>C119&amp;E119</f>
        <v>Augochlorapura</v>
      </c>
      <c r="C119" s="4" t="s">
        <v>361</v>
      </c>
      <c r="D119" s="3" t="s">
        <v>362</v>
      </c>
      <c r="E119" s="3" t="s">
        <v>363</v>
      </c>
      <c r="L119" t="s">
        <v>711</v>
      </c>
      <c r="P119" t="str">
        <f>_xlfn.XLOOKUP("*" &amp; E119 &amp; "*",L:L,L:L, "Not Found in Ohio",2)</f>
        <v>Augochlorapura</v>
      </c>
      <c r="Q119"/>
      <c r="R119"/>
      <c r="S119" t="str">
        <f t="shared" si="4"/>
        <v>Augochlorapura</v>
      </c>
    </row>
    <row r="120" spans="1:22" s="3" customFormat="1" x14ac:dyDescent="0.35">
      <c r="A120" s="4" t="s">
        <v>13</v>
      </c>
      <c r="B120" s="1" t="str">
        <f t="shared" si="3"/>
        <v>Augochlorellaaurata</v>
      </c>
      <c r="C120" s="4" t="s">
        <v>364</v>
      </c>
      <c r="E120" s="3" t="s">
        <v>365</v>
      </c>
      <c r="L120" t="s">
        <v>712</v>
      </c>
      <c r="P120" t="str">
        <f>_xlfn.XLOOKUP("*" &amp; E120 &amp; "*",L:L,L:L, "Not Found in Ohio",2)</f>
        <v>Augochlorellaaurata</v>
      </c>
      <c r="S120" t="str">
        <f t="shared" si="4"/>
        <v>Augochlorellaaurata</v>
      </c>
    </row>
    <row r="121" spans="1:22" s="3" customFormat="1" x14ac:dyDescent="0.35">
      <c r="A121" s="4" t="s">
        <v>14</v>
      </c>
      <c r="B121" s="1" t="str">
        <f t="shared" si="3"/>
        <v>Augochlorellapersimilis</v>
      </c>
      <c r="C121" s="4" t="s">
        <v>364</v>
      </c>
      <c r="E121" s="3" t="s">
        <v>366</v>
      </c>
      <c r="L121" t="s">
        <v>713</v>
      </c>
      <c r="P121" t="str">
        <f>_xlfn.XLOOKUP("*" &amp; E121 &amp; "*",L:L,L:L, "Not Found in Ohio",2)</f>
        <v>Augochlorellapersimilis</v>
      </c>
      <c r="S121" t="str">
        <f t="shared" si="4"/>
        <v>Augochlorellapersimilis</v>
      </c>
    </row>
    <row r="122" spans="1:22" s="3" customFormat="1" x14ac:dyDescent="0.35">
      <c r="B122" s="1" t="str">
        <f t="shared" si="3"/>
        <v>Augochloropsismetallica</v>
      </c>
      <c r="C122" s="4" t="s">
        <v>367</v>
      </c>
      <c r="D122" s="3" t="s">
        <v>368</v>
      </c>
      <c r="E122" s="3" t="s">
        <v>369</v>
      </c>
      <c r="K122" s="4"/>
      <c r="L122" t="s">
        <v>714</v>
      </c>
      <c r="P122" t="str">
        <f>_xlfn.XLOOKUP("*" &amp; E122 &amp; "*",L:L,L:L, "Not Found in Ohio",2)</f>
        <v>Augochloropsismetallica</v>
      </c>
      <c r="Q122"/>
      <c r="R122"/>
      <c r="S122" t="str">
        <f t="shared" si="4"/>
        <v>Augochloropsismetallica</v>
      </c>
    </row>
    <row r="123" spans="1:22" x14ac:dyDescent="0.35">
      <c r="A123" s="1" t="s">
        <v>91</v>
      </c>
      <c r="B123" s="1" t="str">
        <f t="shared" si="3"/>
        <v>Bombusauricomus</v>
      </c>
      <c r="C123" s="1" t="s">
        <v>138</v>
      </c>
      <c r="D123" t="s">
        <v>139</v>
      </c>
      <c r="E123" s="5" t="s">
        <v>140</v>
      </c>
      <c r="F123" t="s">
        <v>979</v>
      </c>
      <c r="K123" s="1"/>
      <c r="P123" t="str">
        <f>_xlfn.XLOOKUP("*" &amp; E123 &amp; "*",L:L,L:L, "Not Found in Ohio",2)</f>
        <v>Bombusauricomus</v>
      </c>
      <c r="S123" t="str">
        <f t="shared" si="4"/>
        <v>Genus and species</v>
      </c>
    </row>
    <row r="124" spans="1:22" s="3" customFormat="1" x14ac:dyDescent="0.35">
      <c r="B124" s="1" t="str">
        <f t="shared" si="3"/>
        <v>Bombusaffinis</v>
      </c>
      <c r="C124" s="4" t="s">
        <v>138</v>
      </c>
      <c r="D124" s="3" t="s">
        <v>141</v>
      </c>
      <c r="E124" s="3" t="s">
        <v>142</v>
      </c>
      <c r="K124" s="4"/>
      <c r="L124" t="s">
        <v>715</v>
      </c>
      <c r="P124" t="str">
        <f>_xlfn.XLOOKUP("*" &amp; E124 &amp; "*",L:L,L:L, "Not Found in Ohio",2)</f>
        <v>Bombusaffinis</v>
      </c>
      <c r="Q124"/>
      <c r="R124"/>
      <c r="S124" t="str">
        <f t="shared" si="4"/>
        <v>Bombusaffinis</v>
      </c>
    </row>
    <row r="125" spans="1:22" s="3" customFormat="1" x14ac:dyDescent="0.35">
      <c r="B125" s="1" t="str">
        <f t="shared" si="3"/>
        <v>Bombusashtoni</v>
      </c>
      <c r="C125" s="4" t="s">
        <v>138</v>
      </c>
      <c r="D125" s="3" t="s">
        <v>199</v>
      </c>
      <c r="E125" s="3" t="s">
        <v>200</v>
      </c>
      <c r="K125" s="4"/>
      <c r="L125" t="s">
        <v>716</v>
      </c>
      <c r="P125" t="str">
        <f>_xlfn.XLOOKUP("*" &amp; E125 &amp; "*",L:L,L:L, "Not Found in Ohio",2)</f>
        <v>Bombusashtoni</v>
      </c>
      <c r="S125" t="str">
        <f t="shared" si="4"/>
        <v>Bombusashtoni</v>
      </c>
    </row>
    <row r="126" spans="1:22" x14ac:dyDescent="0.35">
      <c r="B126" s="1" t="str">
        <f t="shared" si="3"/>
        <v/>
      </c>
      <c r="L126" t="s">
        <v>717</v>
      </c>
      <c r="P126" t="str">
        <f>_xlfn.XLOOKUP("*" &amp; E126 &amp; "*",L:L,L:L, "Not Found in Ohio",2)</f>
        <v>Ohio Regional Species pool</v>
      </c>
      <c r="Q126" s="3"/>
      <c r="R126" s="3"/>
      <c r="S126" t="str">
        <f t="shared" si="4"/>
        <v>Bombusauricomus</v>
      </c>
    </row>
    <row r="127" spans="1:22" s="3" customFormat="1" x14ac:dyDescent="0.35">
      <c r="B127" s="1" t="str">
        <f t="shared" si="3"/>
        <v>Bombusterricola</v>
      </c>
      <c r="C127" s="4" t="s">
        <v>138</v>
      </c>
      <c r="D127" s="3" t="s">
        <v>141</v>
      </c>
      <c r="E127" s="3" t="s">
        <v>143</v>
      </c>
      <c r="L127" t="s">
        <v>718</v>
      </c>
      <c r="P127" t="str">
        <f>_xlfn.XLOOKUP("*" &amp; E127 &amp; "*",L:L,L:L, "Not Found in Ohio",2)</f>
        <v>Bombusterricola</v>
      </c>
      <c r="S127" t="str">
        <f t="shared" si="4"/>
        <v>Bombusbimaculatus</v>
      </c>
    </row>
    <row r="128" spans="1:22" s="3" customFormat="1" x14ac:dyDescent="0.35">
      <c r="B128" s="1" t="str">
        <f t="shared" si="3"/>
        <v>Bombusfraternus</v>
      </c>
      <c r="C128" s="4" t="s">
        <v>138</v>
      </c>
      <c r="D128" s="3" t="s">
        <v>144</v>
      </c>
      <c r="E128" s="3" t="s">
        <v>145</v>
      </c>
      <c r="L128" t="s">
        <v>719</v>
      </c>
      <c r="P128" t="str">
        <f>_xlfn.XLOOKUP("*" &amp; E128 &amp; "*",L:L,L:L, "Not Found in Ohio",2)</f>
        <v>Bombusfraternus</v>
      </c>
      <c r="S128" t="str">
        <f t="shared" si="4"/>
        <v>Bombusborealis</v>
      </c>
    </row>
    <row r="129" spans="2:19" s="3" customFormat="1" x14ac:dyDescent="0.35">
      <c r="B129" s="1" t="str">
        <f t="shared" si="3"/>
        <v>Bombusgriseocollis</v>
      </c>
      <c r="C129" s="4" t="s">
        <v>138</v>
      </c>
      <c r="D129" s="3" t="s">
        <v>144</v>
      </c>
      <c r="E129" s="3" t="s">
        <v>197</v>
      </c>
      <c r="L129" t="s">
        <v>720</v>
      </c>
      <c r="P129" t="str">
        <f>_xlfn.XLOOKUP("*" &amp; E129 &amp; "*",L:L,L:L, "Not Found in Ohio",2)</f>
        <v>Bombusgriseocollis</v>
      </c>
      <c r="S129" t="str">
        <f t="shared" si="4"/>
        <v>Bombuscitrinus</v>
      </c>
    </row>
    <row r="130" spans="2:19" x14ac:dyDescent="0.35">
      <c r="B130" s="1" t="str">
        <f t="shared" si="3"/>
        <v>Bombusrufocinctus</v>
      </c>
      <c r="C130" s="1" t="s">
        <v>138</v>
      </c>
      <c r="D130" t="s">
        <v>144</v>
      </c>
      <c r="E130" s="5" t="s">
        <v>198</v>
      </c>
      <c r="L130" t="s">
        <v>721</v>
      </c>
      <c r="P130" t="str">
        <f>_xlfn.XLOOKUP("*" &amp; E130 &amp; "*",L:L,L:L, "Not Found in Ohio",2)</f>
        <v>Not Found in Ohio</v>
      </c>
      <c r="S130" t="str">
        <f t="shared" si="4"/>
        <v>Bombusfervidus</v>
      </c>
    </row>
    <row r="131" spans="2:19" s="3" customFormat="1" x14ac:dyDescent="0.35">
      <c r="B131" s="1" t="str">
        <f t="shared" ref="B131:B192" si="6">C131&amp;E131</f>
        <v>Bombuscitrinus</v>
      </c>
      <c r="C131" s="4" t="s">
        <v>138</v>
      </c>
      <c r="D131" s="3" t="s">
        <v>199</v>
      </c>
      <c r="E131" s="3" t="s">
        <v>201</v>
      </c>
      <c r="L131" t="s">
        <v>722</v>
      </c>
      <c r="P131" t="str">
        <f>_xlfn.XLOOKUP("*" &amp; E131 &amp; "*",L:L,L:L, "Not Found in Ohio",2)</f>
        <v>Bombuscitrinus</v>
      </c>
      <c r="Q131"/>
      <c r="R131"/>
      <c r="S131" t="str">
        <f t="shared" ref="S131:S194" si="7">_xlfn.XLOOKUP("*"&amp;L131&amp;"*",B:B,B:B,"Not Found in Michigan",2)</f>
        <v>Bombusfraternus</v>
      </c>
    </row>
    <row r="132" spans="2:19" x14ac:dyDescent="0.35">
      <c r="B132" s="1" t="str">
        <f t="shared" si="6"/>
        <v>Bombusfernaldae</v>
      </c>
      <c r="C132" s="1" t="s">
        <v>138</v>
      </c>
      <c r="D132" t="s">
        <v>199</v>
      </c>
      <c r="E132" s="5" t="s">
        <v>202</v>
      </c>
      <c r="L132" t="s">
        <v>723</v>
      </c>
      <c r="P132" t="str">
        <f>_xlfn.XLOOKUP("*" &amp; E132 &amp; "*",L:L,L:L, "Not Found in Ohio",2)</f>
        <v>Not Found in Ohio</v>
      </c>
      <c r="S132" t="str">
        <f t="shared" si="7"/>
        <v>Bombusgriseocollis</v>
      </c>
    </row>
    <row r="133" spans="2:19" x14ac:dyDescent="0.35">
      <c r="B133" s="1" t="str">
        <f t="shared" si="6"/>
        <v>Bombusinsularis</v>
      </c>
      <c r="C133" s="1" t="s">
        <v>138</v>
      </c>
      <c r="D133" t="s">
        <v>199</v>
      </c>
      <c r="E133" s="5" t="s">
        <v>203</v>
      </c>
      <c r="L133" t="s">
        <v>724</v>
      </c>
      <c r="P133" t="str">
        <f>_xlfn.XLOOKUP("*" &amp; E133 &amp; "*",L:L,L:L, "Not Found in Ohio",2)</f>
        <v>Not Found in Ohio</v>
      </c>
      <c r="Q133" s="3"/>
      <c r="R133" s="3"/>
      <c r="S133" t="str">
        <f t="shared" si="7"/>
        <v>Bombusimpatiens</v>
      </c>
    </row>
    <row r="134" spans="2:19" s="3" customFormat="1" x14ac:dyDescent="0.35">
      <c r="B134" s="1" t="str">
        <f t="shared" si="6"/>
        <v>Bombusbimaculatus</v>
      </c>
      <c r="C134" s="4" t="s">
        <v>138</v>
      </c>
      <c r="D134" s="3" t="s">
        <v>204</v>
      </c>
      <c r="E134" s="3" t="s">
        <v>205</v>
      </c>
      <c r="L134" t="s">
        <v>725</v>
      </c>
      <c r="P134" t="str">
        <f>_xlfn.XLOOKUP("*" &amp; E134 &amp; "*",L:L,L:L, "Not Found in Ohio",2)</f>
        <v>Bombusbimaculatus</v>
      </c>
      <c r="S134" t="str">
        <f t="shared" si="7"/>
        <v>Bombuspensylvanicus</v>
      </c>
    </row>
    <row r="135" spans="2:19" x14ac:dyDescent="0.35">
      <c r="B135" s="1" t="str">
        <f t="shared" si="6"/>
        <v>Bombusfrigidus</v>
      </c>
      <c r="C135" s="1" t="s">
        <v>138</v>
      </c>
      <c r="D135" t="s">
        <v>204</v>
      </c>
      <c r="E135" s="5" t="s">
        <v>206</v>
      </c>
      <c r="L135" t="s">
        <v>726</v>
      </c>
      <c r="P135" t="str">
        <f>_xlfn.XLOOKUP("*" &amp; E135 &amp; "*",L:L,L:L, "Not Found in Ohio",2)</f>
        <v>Not Found in Ohio</v>
      </c>
      <c r="Q135" s="3"/>
      <c r="R135" s="3"/>
      <c r="S135" t="str">
        <f t="shared" si="7"/>
        <v>Bombusperplexus</v>
      </c>
    </row>
    <row r="136" spans="2:19" s="3" customFormat="1" x14ac:dyDescent="0.35">
      <c r="B136" s="1" t="str">
        <f t="shared" si="6"/>
        <v>Bombusimpatiens</v>
      </c>
      <c r="C136" s="4" t="s">
        <v>138</v>
      </c>
      <c r="D136" s="3" t="s">
        <v>204</v>
      </c>
      <c r="E136" s="3" t="s">
        <v>207</v>
      </c>
      <c r="L136" t="s">
        <v>727</v>
      </c>
      <c r="P136" t="str">
        <f>_xlfn.XLOOKUP("*" &amp; E136 &amp; "*",L:L,L:L, "Not Found in Ohio",2)</f>
        <v>Bombusimpatiens</v>
      </c>
      <c r="S136" t="str">
        <f t="shared" si="7"/>
        <v>Bombussandersoni</v>
      </c>
    </row>
    <row r="137" spans="2:19" s="3" customFormat="1" x14ac:dyDescent="0.35">
      <c r="B137" s="1" t="str">
        <f t="shared" si="6"/>
        <v>Bombusperplexus</v>
      </c>
      <c r="C137" s="4" t="s">
        <v>138</v>
      </c>
      <c r="D137" s="3" t="s">
        <v>204</v>
      </c>
      <c r="E137" s="3" t="s">
        <v>208</v>
      </c>
      <c r="L137" t="s">
        <v>728</v>
      </c>
      <c r="P137" t="str">
        <f>_xlfn.XLOOKUP("*" &amp; E137 &amp; "*",L:L,L:L, "Not Found in Ohio",2)</f>
        <v>Bombusperplexus</v>
      </c>
      <c r="S137" t="str">
        <f t="shared" si="7"/>
        <v>Bombusterricola</v>
      </c>
    </row>
    <row r="138" spans="2:19" s="3" customFormat="1" x14ac:dyDescent="0.35">
      <c r="B138" s="1" t="str">
        <f t="shared" si="6"/>
        <v>Bombussandersoni</v>
      </c>
      <c r="C138" s="4" t="s">
        <v>138</v>
      </c>
      <c r="D138" s="3" t="s">
        <v>204</v>
      </c>
      <c r="E138" s="3" t="s">
        <v>209</v>
      </c>
      <c r="L138" t="s">
        <v>729</v>
      </c>
      <c r="P138" t="str">
        <f>_xlfn.XLOOKUP("*" &amp; E138 &amp; "*",L:L,L:L, "Not Found in Ohio",2)</f>
        <v>Bombussandersoni</v>
      </c>
      <c r="Q138"/>
      <c r="R138"/>
      <c r="S138" t="str">
        <f t="shared" si="7"/>
        <v>Bombusvagans</v>
      </c>
    </row>
    <row r="139" spans="2:19" x14ac:dyDescent="0.35">
      <c r="B139" s="1" t="str">
        <f t="shared" si="6"/>
        <v>Bombusternarius</v>
      </c>
      <c r="C139" s="2" t="s">
        <v>138</v>
      </c>
      <c r="D139" t="s">
        <v>204</v>
      </c>
      <c r="E139" s="5" t="s">
        <v>210</v>
      </c>
      <c r="L139" t="s">
        <v>730</v>
      </c>
      <c r="P139" t="str">
        <f>_xlfn.XLOOKUP("*" &amp; E139 &amp; "*",L:L,L:L, "Not Found in Ohio",2)</f>
        <v>Not Found in Ohio</v>
      </c>
      <c r="S139" t="str">
        <f t="shared" si="7"/>
        <v>Not Found in Michigan</v>
      </c>
    </row>
    <row r="140" spans="2:19" s="3" customFormat="1" x14ac:dyDescent="0.35">
      <c r="B140" s="1" t="str">
        <f t="shared" si="6"/>
        <v>Bombusvagans</v>
      </c>
      <c r="C140" s="4" t="s">
        <v>138</v>
      </c>
      <c r="D140" s="3" t="s">
        <v>204</v>
      </c>
      <c r="E140" s="3" t="s">
        <v>211</v>
      </c>
      <c r="P140" t="str">
        <f>_xlfn.XLOOKUP("*" &amp; E140 &amp; "*",L:L,L:L, "Not Found in Ohio",2)</f>
        <v>Bombusvagans</v>
      </c>
      <c r="Q140"/>
      <c r="R140"/>
      <c r="S140" t="str">
        <f t="shared" si="7"/>
        <v>Genus and species</v>
      </c>
    </row>
    <row r="141" spans="2:19" s="3" customFormat="1" x14ac:dyDescent="0.35">
      <c r="B141" s="1" t="str">
        <f t="shared" si="6"/>
        <v>Bombusborealis</v>
      </c>
      <c r="C141" s="4" t="s">
        <v>138</v>
      </c>
      <c r="D141" s="3" t="s">
        <v>212</v>
      </c>
      <c r="E141" s="3" t="s">
        <v>213</v>
      </c>
      <c r="P141" t="str">
        <f>_xlfn.XLOOKUP("*" &amp; E141 &amp; "*",L:L,L:L, "Not Found in Ohio",2)</f>
        <v>Bombusborealis</v>
      </c>
      <c r="S141" t="str">
        <f t="shared" si="7"/>
        <v>Genus and species</v>
      </c>
    </row>
    <row r="142" spans="2:19" s="3" customFormat="1" x14ac:dyDescent="0.35">
      <c r="B142" s="1" t="str">
        <f t="shared" si="6"/>
        <v>Bombusfervidus</v>
      </c>
      <c r="C142" s="4" t="s">
        <v>138</v>
      </c>
      <c r="D142" s="3" t="s">
        <v>214</v>
      </c>
      <c r="E142" s="3" t="s">
        <v>215</v>
      </c>
      <c r="P142" t="str">
        <f>_xlfn.XLOOKUP("*" &amp; E142 &amp; "*",L:L,L:L, "Not Found in Ohio",2)</f>
        <v>Bombusfervidus</v>
      </c>
      <c r="S142" t="str">
        <f t="shared" si="7"/>
        <v>Genus and species</v>
      </c>
    </row>
    <row r="143" spans="2:19" s="3" customFormat="1" x14ac:dyDescent="0.35">
      <c r="B143" s="1" t="str">
        <f t="shared" si="6"/>
        <v>Bombuspensylvanicus</v>
      </c>
      <c r="C143" s="4" t="s">
        <v>138</v>
      </c>
      <c r="D143" s="3" t="s">
        <v>214</v>
      </c>
      <c r="E143" s="3" t="s">
        <v>216</v>
      </c>
      <c r="P143" t="str">
        <f>_xlfn.XLOOKUP("*" &amp; E143 &amp; "*",L:L,L:L, "Not Found in Ohio",2)</f>
        <v>Bombuspensylvanicus</v>
      </c>
      <c r="S143" t="str">
        <f t="shared" si="7"/>
        <v>Genus and species</v>
      </c>
    </row>
    <row r="144" spans="2:19" x14ac:dyDescent="0.35">
      <c r="B144" s="1" t="str">
        <f t="shared" si="6"/>
        <v/>
      </c>
      <c r="L144" s="5"/>
      <c r="P144" t="str">
        <f>_xlfn.XLOOKUP("*" &amp; E144 &amp; "*",L:L,L:L, "Not Found in Ohio",2)</f>
        <v>Ohio Regional Species pool</v>
      </c>
      <c r="Q144" s="3"/>
      <c r="R144" s="3"/>
      <c r="S144" t="str">
        <f t="shared" si="7"/>
        <v>Genus and species</v>
      </c>
    </row>
    <row r="145" spans="1:21" x14ac:dyDescent="0.35">
      <c r="A145" s="1" t="s">
        <v>82</v>
      </c>
      <c r="B145" s="1" t="str">
        <f>C145&amp;E145</f>
        <v>Calliopsisandreniformis</v>
      </c>
      <c r="C145" s="1" t="s">
        <v>986</v>
      </c>
      <c r="D145" t="s">
        <v>98</v>
      </c>
      <c r="E145" t="s">
        <v>99</v>
      </c>
      <c r="L145" t="s">
        <v>731</v>
      </c>
      <c r="P145" t="str">
        <f>_xlfn.XLOOKUP("*" &amp; E145 &amp; "*",L:L,L:L, "Not Found in Ohio",2)</f>
        <v>Calliopsisandreniformis</v>
      </c>
      <c r="Q145" s="3"/>
      <c r="R145" s="3"/>
      <c r="S145" t="str">
        <f t="shared" si="7"/>
        <v>Calliopsisandreniformis</v>
      </c>
    </row>
    <row r="146" spans="1:21" x14ac:dyDescent="0.35">
      <c r="A146" s="1" t="s">
        <v>83</v>
      </c>
      <c r="B146" s="1" t="str">
        <f>C146&amp;E146</f>
        <v>Calliopsisnebraskensis</v>
      </c>
      <c r="C146" s="1" t="s">
        <v>986</v>
      </c>
      <c r="D146" t="s">
        <v>100</v>
      </c>
      <c r="E146" s="5" t="s">
        <v>101</v>
      </c>
      <c r="P146" t="str">
        <f>_xlfn.XLOOKUP("*" &amp; E146 &amp; "*",L:L,L:L, "Not Found in Ohio",2)</f>
        <v>Not Found in Ohio</v>
      </c>
      <c r="S146" t="str">
        <f t="shared" si="7"/>
        <v>Genus and species</v>
      </c>
    </row>
    <row r="147" spans="1:21" x14ac:dyDescent="0.35">
      <c r="B147" s="1" t="str">
        <f t="shared" si="6"/>
        <v/>
      </c>
      <c r="L147" t="s">
        <v>732</v>
      </c>
      <c r="P147" t="str">
        <f>_xlfn.XLOOKUP("*" &amp; E147 &amp; "*",L:L,L:L, "Not Found in Ohio",2)</f>
        <v>Ohio Regional Species pool</v>
      </c>
      <c r="S147" t="str">
        <f t="shared" si="7"/>
        <v>Not Found in Michigan</v>
      </c>
    </row>
    <row r="148" spans="1:21" x14ac:dyDescent="0.35">
      <c r="A148" s="1" t="s">
        <v>7</v>
      </c>
      <c r="B148" s="1" t="str">
        <f t="shared" si="6"/>
        <v>Ceratinacalcarata</v>
      </c>
      <c r="C148" s="1" t="s">
        <v>312</v>
      </c>
      <c r="D148" t="s">
        <v>313</v>
      </c>
      <c r="E148" t="s">
        <v>314</v>
      </c>
      <c r="L148" t="s">
        <v>733</v>
      </c>
      <c r="P148" t="str">
        <f>_xlfn.XLOOKUP("*" &amp; E148 &amp; "*",L:L,L:L, "Not Found in Ohio",2)</f>
        <v>Ceratinacalcarata</v>
      </c>
      <c r="S148" t="str">
        <f t="shared" si="7"/>
        <v>Ceratinacalcarata</v>
      </c>
    </row>
    <row r="149" spans="1:21" x14ac:dyDescent="0.35">
      <c r="B149" s="1" t="str">
        <f t="shared" si="6"/>
        <v>Ceratinadupla</v>
      </c>
      <c r="C149" s="1" t="s">
        <v>312</v>
      </c>
      <c r="D149" t="s">
        <v>313</v>
      </c>
      <c r="E149" t="s">
        <v>315</v>
      </c>
      <c r="L149" t="s">
        <v>734</v>
      </c>
      <c r="P149" t="str">
        <f>_xlfn.XLOOKUP("*" &amp; E149 &amp; "*",L:L,L:L, "Not Found in Ohio",2)</f>
        <v>Ceratinadupla</v>
      </c>
      <c r="Q149" s="3"/>
      <c r="R149" s="3"/>
      <c r="S149" t="str">
        <f t="shared" si="7"/>
        <v>Ceratinadupla</v>
      </c>
    </row>
    <row r="150" spans="1:21" x14ac:dyDescent="0.35">
      <c r="B150" s="1" t="str">
        <f t="shared" si="6"/>
        <v>Ceratinamikmaqi</v>
      </c>
      <c r="C150" s="1" t="s">
        <v>312</v>
      </c>
      <c r="D150" t="s">
        <v>313</v>
      </c>
      <c r="E150" t="s">
        <v>316</v>
      </c>
      <c r="L150" t="s">
        <v>735</v>
      </c>
      <c r="P150" t="str">
        <f>_xlfn.XLOOKUP("*" &amp; E150 &amp; "*",L:L,L:L, "Not Found in Ohio",2)</f>
        <v>Ceratinamikmaqi</v>
      </c>
      <c r="Q150" s="3"/>
      <c r="R150" s="3"/>
      <c r="S150" t="str">
        <f t="shared" si="7"/>
        <v>Ceratinamikmaqi</v>
      </c>
    </row>
    <row r="151" spans="1:21" x14ac:dyDescent="0.35">
      <c r="B151" s="1" t="str">
        <f t="shared" si="6"/>
        <v>Ceratinastrenua</v>
      </c>
      <c r="C151" s="1" t="s">
        <v>312</v>
      </c>
      <c r="D151" t="s">
        <v>313</v>
      </c>
      <c r="E151" t="s">
        <v>317</v>
      </c>
      <c r="L151" t="s">
        <v>736</v>
      </c>
      <c r="P151" t="str">
        <f>_xlfn.XLOOKUP("*" &amp; E151 &amp; "*",L:L,L:L, "Not Found in Ohio",2)</f>
        <v>Ceratinastrenua</v>
      </c>
      <c r="Q151" s="3"/>
      <c r="R151" s="3"/>
      <c r="S151" t="str">
        <f t="shared" si="7"/>
        <v>Ceratinastrenua</v>
      </c>
    </row>
    <row r="152" spans="1:21" x14ac:dyDescent="0.35">
      <c r="B152" s="1" t="str">
        <f t="shared" si="6"/>
        <v>Chelostomaphiladelphi</v>
      </c>
      <c r="C152" t="s">
        <v>570</v>
      </c>
      <c r="D152" t="s">
        <v>571</v>
      </c>
      <c r="E152" t="s">
        <v>572</v>
      </c>
      <c r="L152" t="s">
        <v>737</v>
      </c>
      <c r="P152" t="str">
        <f>_xlfn.XLOOKUP("*" &amp; E152 &amp; "*",L:L,L:L, "Not Found in Ohio",2)</f>
        <v>Chelostomaphiladelphi</v>
      </c>
      <c r="Q152" s="3"/>
      <c r="R152" s="3"/>
      <c r="S152" t="str">
        <f t="shared" si="7"/>
        <v>Chelostomaphiladelphi</v>
      </c>
    </row>
    <row r="153" spans="1:21" x14ac:dyDescent="0.35">
      <c r="A153" t="s">
        <v>21</v>
      </c>
      <c r="B153" s="1" t="str">
        <f t="shared" si="6"/>
        <v>Coelioxysmoestus</v>
      </c>
      <c r="C153" t="s">
        <v>517</v>
      </c>
      <c r="D153" t="s">
        <v>518</v>
      </c>
      <c r="E153" t="s">
        <v>519</v>
      </c>
      <c r="P153" s="5" t="str">
        <f>_xlfn.XLOOKUP("*" &amp; E153 &amp; "*",L:L,L:L, "Not Found in Ohio",2)</f>
        <v>Not Found in Ohio</v>
      </c>
      <c r="Q153" s="3"/>
      <c r="R153" s="3"/>
      <c r="S153" t="str">
        <f t="shared" si="7"/>
        <v>Genus and species</v>
      </c>
      <c r="U153" t="s">
        <v>987</v>
      </c>
    </row>
    <row r="154" spans="1:21" x14ac:dyDescent="0.35">
      <c r="B154" s="1" t="str">
        <f t="shared" si="6"/>
        <v>Coelioxysoctodentatus</v>
      </c>
      <c r="C154" t="s">
        <v>517</v>
      </c>
      <c r="D154" t="s">
        <v>518</v>
      </c>
      <c r="E154" t="s">
        <v>520</v>
      </c>
      <c r="L154" t="s">
        <v>738</v>
      </c>
      <c r="P154" t="str">
        <f>_xlfn.XLOOKUP("*" &amp; E154 &amp; "*",L:L,L:L, "Not Found in Ohio",2)</f>
        <v>Coelioxysoctodentatus</v>
      </c>
      <c r="S154" t="str">
        <f t="shared" si="7"/>
        <v>Coelioxysalternatus</v>
      </c>
    </row>
    <row r="155" spans="1:21" x14ac:dyDescent="0.35">
      <c r="B155" s="1" t="str">
        <f t="shared" si="6"/>
        <v>Coelioxysporterae</v>
      </c>
      <c r="C155" t="s">
        <v>517</v>
      </c>
      <c r="D155" t="s">
        <v>518</v>
      </c>
      <c r="E155" s="5" t="s">
        <v>521</v>
      </c>
      <c r="L155" t="s">
        <v>739</v>
      </c>
      <c r="P155" s="5" t="str">
        <f>_xlfn.XLOOKUP("*" &amp; E155 &amp; "*",L:L,L:L, "Not Found in Ohio",2)</f>
        <v>Not Found in Ohio</v>
      </c>
      <c r="S155" t="str">
        <f t="shared" si="7"/>
        <v>Not Found in Michigan</v>
      </c>
    </row>
    <row r="156" spans="1:21" x14ac:dyDescent="0.35">
      <c r="B156" s="1" t="str">
        <f t="shared" si="6"/>
        <v>Coelioxysrufitarsis</v>
      </c>
      <c r="C156" t="s">
        <v>517</v>
      </c>
      <c r="D156" t="s">
        <v>518</v>
      </c>
      <c r="E156" t="s">
        <v>522</v>
      </c>
      <c r="L156" t="s">
        <v>740</v>
      </c>
      <c r="P156" t="str">
        <f>_xlfn.XLOOKUP("*" &amp; E156 &amp; "*",L:L,L:L, "Not Found in Ohio",2)</f>
        <v>Coelioxysrufitarsis</v>
      </c>
      <c r="S156" t="str">
        <f t="shared" si="7"/>
        <v>Not Found in Michigan</v>
      </c>
    </row>
    <row r="157" spans="1:21" x14ac:dyDescent="0.35">
      <c r="B157" s="1" t="str">
        <f t="shared" si="6"/>
        <v>Coelioxyssayi</v>
      </c>
      <c r="C157" t="s">
        <v>517</v>
      </c>
      <c r="D157" t="s">
        <v>518</v>
      </c>
      <c r="E157" t="s">
        <v>303</v>
      </c>
      <c r="L157" t="s">
        <v>741</v>
      </c>
      <c r="P157" t="str">
        <f>_xlfn.XLOOKUP("*" &amp; E157 &amp; "*",L:L,L:L, "Not Found in Ohio",2)</f>
        <v>Coelioxyssayi</v>
      </c>
      <c r="Q157" s="3"/>
      <c r="R157" s="3"/>
      <c r="S157" t="str">
        <f t="shared" si="7"/>
        <v>Coelioxysmodestus</v>
      </c>
    </row>
    <row r="158" spans="1:21" x14ac:dyDescent="0.35">
      <c r="B158" s="1" t="str">
        <f t="shared" si="6"/>
        <v>Coelioxyssodalis</v>
      </c>
      <c r="C158" t="s">
        <v>517</v>
      </c>
      <c r="D158" t="s">
        <v>523</v>
      </c>
      <c r="E158" s="5" t="s">
        <v>524</v>
      </c>
      <c r="L158" t="s">
        <v>742</v>
      </c>
      <c r="P158" s="5" t="str">
        <f>_xlfn.XLOOKUP("*" &amp; E158 &amp; "*",L:L,L:L, "Not Found in Ohio",2)</f>
        <v>Not Found in Ohio</v>
      </c>
      <c r="Q158" s="3"/>
      <c r="R158" s="3"/>
      <c r="S158" t="str">
        <f t="shared" si="7"/>
        <v>Coelioxysoctodentatus</v>
      </c>
    </row>
    <row r="159" spans="1:21" x14ac:dyDescent="0.35">
      <c r="B159" s="1" t="str">
        <f t="shared" si="6"/>
        <v>Coelioxysmodestus</v>
      </c>
      <c r="C159" t="s">
        <v>517</v>
      </c>
      <c r="D159" t="s">
        <v>525</v>
      </c>
      <c r="E159" s="5" t="s">
        <v>357</v>
      </c>
      <c r="L159" t="s">
        <v>743</v>
      </c>
      <c r="P159" t="str">
        <f>_xlfn.XLOOKUP("*" &amp; E159 &amp; "*",L:L,L:L, "Not Found in Ohio",2)</f>
        <v>Coelioxysmodestus</v>
      </c>
      <c r="Q159" s="3"/>
      <c r="R159" s="3"/>
      <c r="S159" t="str">
        <f t="shared" si="7"/>
        <v>Coelioxysrufitarsis</v>
      </c>
    </row>
    <row r="160" spans="1:21" x14ac:dyDescent="0.35">
      <c r="B160" s="1" t="str">
        <f t="shared" si="6"/>
        <v>Coelioxysfunerarius</v>
      </c>
      <c r="C160" t="s">
        <v>517</v>
      </c>
      <c r="D160" t="s">
        <v>526</v>
      </c>
      <c r="E160" s="5" t="s">
        <v>527</v>
      </c>
      <c r="L160" t="s">
        <v>744</v>
      </c>
      <c r="P160" s="5" t="str">
        <f>_xlfn.XLOOKUP("*" &amp; E160 &amp; "*",L:L,L:L, "Not Found in Ohio",2)</f>
        <v>Not Found in Ohio</v>
      </c>
      <c r="Q160" s="3"/>
      <c r="R160" s="3"/>
      <c r="S160" t="str">
        <f t="shared" si="7"/>
        <v>Coelioxyssayi</v>
      </c>
    </row>
    <row r="161" spans="1:19" x14ac:dyDescent="0.35">
      <c r="B161" s="1" t="str">
        <f t="shared" si="6"/>
        <v>Coelioxysalternatus</v>
      </c>
      <c r="C161" t="s">
        <v>517</v>
      </c>
      <c r="D161" t="s">
        <v>528</v>
      </c>
      <c r="E161" t="s">
        <v>529</v>
      </c>
      <c r="P161" t="str">
        <f>_xlfn.XLOOKUP("*" &amp; E161 &amp; "*",L:L,L:L, "Not Found in Ohio",2)</f>
        <v>Coelioxysalternatus</v>
      </c>
      <c r="Q161" s="3"/>
      <c r="R161" s="3"/>
      <c r="S161" t="str">
        <f t="shared" si="7"/>
        <v>Genus and species</v>
      </c>
    </row>
    <row r="162" spans="1:19" x14ac:dyDescent="0.35">
      <c r="B162" s="1" t="str">
        <f t="shared" si="6"/>
        <v>Coelioxysimmaculatus</v>
      </c>
      <c r="C162" t="s">
        <v>517</v>
      </c>
      <c r="D162" t="s">
        <v>530</v>
      </c>
      <c r="E162" s="5" t="s">
        <v>531</v>
      </c>
      <c r="P162" s="5" t="str">
        <f>_xlfn.XLOOKUP("*" &amp; E162 &amp; "*",L:L,L:L, "Not Found in Ohio",2)</f>
        <v>Not Found in Ohio</v>
      </c>
      <c r="S162" t="str">
        <f t="shared" si="7"/>
        <v>Genus and species</v>
      </c>
    </row>
    <row r="163" spans="1:19" x14ac:dyDescent="0.35">
      <c r="A163" s="1" t="s">
        <v>9</v>
      </c>
      <c r="B163" s="1" t="str">
        <f t="shared" si="6"/>
        <v>Colletesaberrans</v>
      </c>
      <c r="C163" s="1" t="s">
        <v>321</v>
      </c>
      <c r="E163" s="5" t="s">
        <v>322</v>
      </c>
      <c r="L163" t="s">
        <v>745</v>
      </c>
      <c r="P163" t="str">
        <f>_xlfn.XLOOKUP("*" &amp; E163 &amp; "*",L:L,L:L, "Not Found in Ohio",2)</f>
        <v>Not Found in Ohio</v>
      </c>
      <c r="Q163" s="3"/>
      <c r="R163" s="3"/>
      <c r="S163" t="str">
        <f t="shared" si="7"/>
        <v>Colletesaestivalis</v>
      </c>
    </row>
    <row r="164" spans="1:19" x14ac:dyDescent="0.35">
      <c r="A164" s="1" t="s">
        <v>10</v>
      </c>
      <c r="B164" s="1" t="str">
        <f t="shared" si="6"/>
        <v>Colletesaestivalis</v>
      </c>
      <c r="C164" s="1" t="s">
        <v>321</v>
      </c>
      <c r="E164" t="s">
        <v>118</v>
      </c>
      <c r="L164" t="s">
        <v>746</v>
      </c>
      <c r="P164" t="str">
        <f>_xlfn.XLOOKUP("*" &amp; E164 &amp; "*",L:L,L:L, "Not Found in Ohio",2)</f>
        <v>Colletesaestivalis</v>
      </c>
      <c r="Q164" s="3"/>
      <c r="R164" s="3"/>
      <c r="S164" t="str">
        <f t="shared" si="7"/>
        <v>Colletesamericanus</v>
      </c>
    </row>
    <row r="165" spans="1:19" x14ac:dyDescent="0.35">
      <c r="B165" s="1" t="str">
        <f t="shared" si="6"/>
        <v>Colletesamericanus</v>
      </c>
      <c r="C165" s="1" t="s">
        <v>321</v>
      </c>
      <c r="E165" t="s">
        <v>253</v>
      </c>
      <c r="L165" t="s">
        <v>747</v>
      </c>
      <c r="P165" t="str">
        <f>_xlfn.XLOOKUP("*" &amp; E165 &amp; "*",L:L,L:L, "Not Found in Ohio",2)</f>
        <v>Colletesamericanus</v>
      </c>
      <c r="Q165" s="3"/>
      <c r="R165" s="3"/>
      <c r="S165" t="str">
        <f t="shared" si="7"/>
        <v>Colletescompactus</v>
      </c>
    </row>
    <row r="166" spans="1:19" x14ac:dyDescent="0.35">
      <c r="B166" s="1" t="str">
        <f t="shared" si="6"/>
        <v>Colletesbanksi</v>
      </c>
      <c r="C166" s="1" t="s">
        <v>321</v>
      </c>
      <c r="E166" t="s">
        <v>274</v>
      </c>
      <c r="L166" t="s">
        <v>748</v>
      </c>
      <c r="P166" s="5" t="str">
        <f>_xlfn.XLOOKUP("*" &amp; E166 &amp; "*",L:L,L:L, "Not Found in Ohio",2)</f>
        <v>Coelioxysbanksi</v>
      </c>
      <c r="Q166" s="3"/>
      <c r="R166" s="3"/>
      <c r="S166" t="str">
        <f t="shared" si="7"/>
        <v>Not Found in Michigan</v>
      </c>
    </row>
    <row r="167" spans="1:19" x14ac:dyDescent="0.35">
      <c r="B167" s="1" t="str">
        <f t="shared" si="6"/>
        <v>Colletesbrevicornis</v>
      </c>
      <c r="C167" s="1" t="s">
        <v>321</v>
      </c>
      <c r="E167" t="s">
        <v>323</v>
      </c>
      <c r="L167" t="s">
        <v>749</v>
      </c>
      <c r="P167" s="5" t="str">
        <f>_xlfn.XLOOKUP("*" &amp; E167 &amp; "*",L:L,L:L, "Not Found in Ohio",2)</f>
        <v>Not Found in Ohio</v>
      </c>
      <c r="Q167" s="3"/>
      <c r="R167" s="3"/>
      <c r="S167" t="str">
        <f t="shared" si="7"/>
        <v>Colletesinaequalis</v>
      </c>
    </row>
    <row r="168" spans="1:19" x14ac:dyDescent="0.35">
      <c r="B168" s="1" t="str">
        <f t="shared" si="6"/>
        <v>Colletescompactus</v>
      </c>
      <c r="C168" s="1" t="s">
        <v>321</v>
      </c>
      <c r="D168" t="s">
        <v>324</v>
      </c>
      <c r="E168" t="s">
        <v>324</v>
      </c>
      <c r="L168" t="s">
        <v>750</v>
      </c>
      <c r="P168" t="str">
        <f>_xlfn.XLOOKUP("*" &amp; E168 &amp; "*",L:L,L:L, "Not Found in Ohio",2)</f>
        <v>Colletescompactus</v>
      </c>
      <c r="S168" t="str">
        <f t="shared" si="7"/>
        <v>Colleteskincaidii</v>
      </c>
    </row>
    <row r="169" spans="1:19" x14ac:dyDescent="0.35">
      <c r="B169" s="1" t="str">
        <f t="shared" si="6"/>
        <v/>
      </c>
      <c r="C169" s="1"/>
      <c r="L169" t="s">
        <v>751</v>
      </c>
      <c r="P169" t="str">
        <f>_xlfn.XLOOKUP("*" &amp; E169 &amp; "*",L:L,L:L, "Not Found in Ohio",2)</f>
        <v>Ohio Regional Species pool</v>
      </c>
      <c r="S169" t="str">
        <f t="shared" si="7"/>
        <v>Colleteslatitarsis</v>
      </c>
    </row>
    <row r="170" spans="1:19" x14ac:dyDescent="0.35">
      <c r="B170" s="1" t="str">
        <f t="shared" si="6"/>
        <v>Colletesmesocopus</v>
      </c>
      <c r="C170" s="1" t="s">
        <v>321</v>
      </c>
      <c r="D170" t="s">
        <v>325</v>
      </c>
      <c r="E170" s="5" t="s">
        <v>326</v>
      </c>
      <c r="L170" t="s">
        <v>752</v>
      </c>
      <c r="P170" t="str">
        <f>_xlfn.XLOOKUP("*" &amp; E170 &amp; "*",L:L,L:L, "Not Found in Ohio",2)</f>
        <v>Not Found in Ohio</v>
      </c>
      <c r="S170" t="str">
        <f t="shared" si="7"/>
        <v>Colletesmandibularis</v>
      </c>
    </row>
    <row r="171" spans="1:19" x14ac:dyDescent="0.35">
      <c r="B171" s="1" t="str">
        <f t="shared" si="6"/>
        <v>Colleteshyalinus</v>
      </c>
      <c r="C171" s="1" t="s">
        <v>321</v>
      </c>
      <c r="E171" s="5" t="s">
        <v>327</v>
      </c>
      <c r="L171" t="s">
        <v>753</v>
      </c>
      <c r="P171" t="str">
        <f>_xlfn.XLOOKUP("*" &amp; E171 &amp; "*",L:L,L:L, "Not Found in Ohio",2)</f>
        <v>Not Found in Ohio</v>
      </c>
      <c r="Q171" s="3"/>
      <c r="R171" s="3"/>
      <c r="S171" t="str">
        <f t="shared" si="7"/>
        <v>Colletesnudus</v>
      </c>
    </row>
    <row r="172" spans="1:19" x14ac:dyDescent="0.35">
      <c r="B172" s="1" t="str">
        <f t="shared" si="6"/>
        <v>Colleteslacustris</v>
      </c>
      <c r="C172" s="1" t="s">
        <v>321</v>
      </c>
      <c r="D172" t="s">
        <v>328</v>
      </c>
      <c r="E172" s="5" t="s">
        <v>329</v>
      </c>
      <c r="L172" t="s">
        <v>754</v>
      </c>
      <c r="P172" t="str">
        <f>_xlfn.XLOOKUP("*" &amp; E172 &amp; "*",L:L,L:L, "Not Found in Ohio",2)</f>
        <v>Not Found in Ohio</v>
      </c>
      <c r="Q172" s="3"/>
      <c r="R172" s="3"/>
      <c r="S172" t="str">
        <f t="shared" si="7"/>
        <v>Not Found in Michigan</v>
      </c>
    </row>
    <row r="173" spans="1:19" x14ac:dyDescent="0.35">
      <c r="B173" s="1" t="str">
        <f t="shared" si="6"/>
        <v>Colletesinaequalis</v>
      </c>
      <c r="C173" s="1" t="s">
        <v>321</v>
      </c>
      <c r="E173" t="s">
        <v>330</v>
      </c>
      <c r="L173" t="s">
        <v>755</v>
      </c>
      <c r="P173" t="str">
        <f>_xlfn.XLOOKUP("*" &amp; E173 &amp; "*",L:L,L:L, "Not Found in Ohio",2)</f>
        <v>Colletesinaequalis</v>
      </c>
      <c r="Q173" s="3"/>
      <c r="R173" s="3"/>
      <c r="S173" t="str">
        <f t="shared" si="7"/>
        <v>Colletesthoracicus</v>
      </c>
    </row>
    <row r="174" spans="1:19" x14ac:dyDescent="0.35">
      <c r="B174" s="1" t="str">
        <f t="shared" si="6"/>
        <v>Colleteskincaidii</v>
      </c>
      <c r="C174" s="1" t="s">
        <v>321</v>
      </c>
      <c r="E174" t="s">
        <v>331</v>
      </c>
      <c r="L174" t="s">
        <v>756</v>
      </c>
      <c r="P174" t="str">
        <f>_xlfn.XLOOKUP("*" &amp; E174 &amp; "*",L:L,L:L, "Not Found in Ohio",2)</f>
        <v>Colleteskincaidii</v>
      </c>
      <c r="Q174" s="3"/>
      <c r="R174" s="3"/>
      <c r="S174" t="str">
        <f t="shared" si="7"/>
        <v>Colleteswillistoni</v>
      </c>
    </row>
    <row r="175" spans="1:19" x14ac:dyDescent="0.35">
      <c r="B175" s="1" t="str">
        <f t="shared" si="6"/>
        <v>Colleteslatitarsis</v>
      </c>
      <c r="C175" s="1" t="s">
        <v>321</v>
      </c>
      <c r="E175" t="s">
        <v>332</v>
      </c>
      <c r="L175" t="s">
        <v>751</v>
      </c>
      <c r="P175" t="str">
        <f>_xlfn.XLOOKUP("*" &amp; E175 &amp; "*",L:L,L:L, "Not Found in Ohio",2)</f>
        <v>Colleteslatitarsis</v>
      </c>
      <c r="Q175" s="3"/>
      <c r="R175" s="3"/>
      <c r="S175" t="str">
        <f t="shared" si="7"/>
        <v>Colleteslatitarsis</v>
      </c>
    </row>
    <row r="176" spans="1:19" x14ac:dyDescent="0.35">
      <c r="B176" s="1" t="str">
        <f t="shared" si="6"/>
        <v>Colletesmandibularis</v>
      </c>
      <c r="C176" s="1" t="s">
        <v>321</v>
      </c>
      <c r="E176" t="s">
        <v>33</v>
      </c>
      <c r="L176" t="s">
        <v>752</v>
      </c>
      <c r="P176" t="str">
        <f>_xlfn.XLOOKUP("*" &amp; E176 &amp; "*",L:L,L:L, "Not Found in Ohio",2)</f>
        <v>Andrenamandibularis</v>
      </c>
      <c r="S176" t="str">
        <f t="shared" si="7"/>
        <v>Colletesmandibularis</v>
      </c>
    </row>
    <row r="177" spans="1:19" x14ac:dyDescent="0.35">
      <c r="B177" s="1" t="str">
        <f t="shared" si="6"/>
        <v>Colletesnudus</v>
      </c>
      <c r="C177" s="1" t="s">
        <v>321</v>
      </c>
      <c r="E177" t="s">
        <v>333</v>
      </c>
      <c r="L177" t="s">
        <v>753</v>
      </c>
      <c r="P177" t="str">
        <f>_xlfn.XLOOKUP("*" &amp; E177 &amp; "*",L:L,L:L, "Not Found in Ohio",2)</f>
        <v>Colletesnudus</v>
      </c>
      <c r="S177" t="str">
        <f t="shared" si="7"/>
        <v>Colletesnudus</v>
      </c>
    </row>
    <row r="178" spans="1:19" x14ac:dyDescent="0.35">
      <c r="B178" s="1" t="str">
        <f t="shared" si="6"/>
        <v>Colletesarmatus</v>
      </c>
      <c r="C178" s="1" t="s">
        <v>321</v>
      </c>
      <c r="D178" t="s">
        <v>334</v>
      </c>
      <c r="E178" s="5" t="s">
        <v>335</v>
      </c>
      <c r="P178" s="5" t="str">
        <f>_xlfn.XLOOKUP("*" &amp; E178 &amp; "*",L:L,L:L, "Not Found in Ohio",2)</f>
        <v>Not Found in Ohio</v>
      </c>
      <c r="S178" t="str">
        <f t="shared" si="7"/>
        <v>Genus and species</v>
      </c>
    </row>
    <row r="179" spans="1:19" x14ac:dyDescent="0.35">
      <c r="B179" s="1" t="str">
        <f t="shared" si="6"/>
        <v/>
      </c>
      <c r="C179" s="1"/>
      <c r="L179" s="5"/>
      <c r="P179" t="str">
        <f>_xlfn.XLOOKUP("*" &amp; E179 &amp; "*",L:L,L:L, "Not Found in Ohio",2)</f>
        <v>Ohio Regional Species pool</v>
      </c>
      <c r="Q179" s="3"/>
      <c r="R179" s="3"/>
      <c r="S179" t="str">
        <f t="shared" si="7"/>
        <v>Genus and species</v>
      </c>
    </row>
    <row r="180" spans="1:19" x14ac:dyDescent="0.35">
      <c r="B180" s="1" t="str">
        <f t="shared" si="6"/>
        <v>Colletessolidaginis</v>
      </c>
      <c r="C180" s="1" t="s">
        <v>321</v>
      </c>
      <c r="E180" s="5" t="s">
        <v>336</v>
      </c>
      <c r="P180" s="5" t="str">
        <f>_xlfn.XLOOKUP("*" &amp; E180 &amp; "*",L:L,L:L, "Not Found in Ohio",2)</f>
        <v>Not Found in Ohio</v>
      </c>
      <c r="Q180" s="3"/>
      <c r="R180" s="3"/>
      <c r="S180" t="str">
        <f t="shared" si="7"/>
        <v>Genus and species</v>
      </c>
    </row>
    <row r="181" spans="1:19" x14ac:dyDescent="0.35">
      <c r="B181" s="1" t="str">
        <f t="shared" si="6"/>
        <v>Colletesthoracicus</v>
      </c>
      <c r="C181" s="1" t="s">
        <v>321</v>
      </c>
      <c r="E181" t="s">
        <v>337</v>
      </c>
      <c r="P181" t="str">
        <f>_xlfn.XLOOKUP("*" &amp; E181 &amp; "*",L:L,L:L, "Not Found in Ohio",2)</f>
        <v>Colletesthoracicus</v>
      </c>
      <c r="Q181" s="3"/>
      <c r="R181" s="3"/>
      <c r="S181" t="str">
        <f t="shared" si="7"/>
        <v>Genus and species</v>
      </c>
    </row>
    <row r="182" spans="1:19" x14ac:dyDescent="0.35">
      <c r="B182" s="1" t="str">
        <f t="shared" si="6"/>
        <v>Colletesvalidus</v>
      </c>
      <c r="C182" s="1" t="s">
        <v>321</v>
      </c>
      <c r="E182" s="5" t="s">
        <v>338</v>
      </c>
      <c r="P182" s="5" t="str">
        <f>_xlfn.XLOOKUP("*" &amp; E182 &amp; "*",L:L,L:L, "Not Found in Ohio",2)</f>
        <v>Not Found in Ohio</v>
      </c>
      <c r="Q182" s="3"/>
      <c r="R182" s="3"/>
      <c r="S182" t="str">
        <f t="shared" si="7"/>
        <v>Genus and species</v>
      </c>
    </row>
    <row r="183" spans="1:19" x14ac:dyDescent="0.35">
      <c r="B183" s="1" t="str">
        <f t="shared" si="6"/>
        <v>Colleteswillistoni</v>
      </c>
      <c r="C183" s="1" t="s">
        <v>321</v>
      </c>
      <c r="E183" t="s">
        <v>339</v>
      </c>
      <c r="P183" t="str">
        <f>_xlfn.XLOOKUP("*" &amp; E183 &amp; "*",L:L,L:L, "Not Found in Ohio",2)</f>
        <v>Colleteswillistoni</v>
      </c>
      <c r="Q183" s="3"/>
      <c r="R183" s="3"/>
      <c r="S183" t="str">
        <f t="shared" si="7"/>
        <v>Genus and species</v>
      </c>
    </row>
    <row r="184" spans="1:19" x14ac:dyDescent="0.35">
      <c r="B184" s="1" t="str">
        <f t="shared" si="6"/>
        <v>Dianthidiumsimile</v>
      </c>
      <c r="C184" t="s">
        <v>501</v>
      </c>
      <c r="D184" t="s">
        <v>502</v>
      </c>
      <c r="E184" s="5" t="s">
        <v>503</v>
      </c>
      <c r="P184" t="str">
        <f>_xlfn.XLOOKUP("*" &amp; E184 &amp; "*",L:L,L:L, "Not Found in Ohio",2)</f>
        <v>Not Found in Ohio</v>
      </c>
      <c r="S184" t="str">
        <f t="shared" si="7"/>
        <v>Genus and species</v>
      </c>
    </row>
    <row r="185" spans="1:19" x14ac:dyDescent="0.35">
      <c r="A185" s="1" t="s">
        <v>16</v>
      </c>
      <c r="B185" s="1" t="str">
        <f>C185&amp;E185</f>
        <v>Dieunomiaheteropoda</v>
      </c>
      <c r="C185" s="1" t="s">
        <v>483</v>
      </c>
      <c r="D185" t="s">
        <v>484</v>
      </c>
      <c r="E185" t="s">
        <v>485</v>
      </c>
      <c r="L185" t="s">
        <v>757</v>
      </c>
      <c r="P185" t="str">
        <f>_xlfn.XLOOKUP("*" &amp; E185 &amp; "*",L:L,L:L, "Not Found in Ohio",2)</f>
        <v>Dieunomiaheteropoda</v>
      </c>
      <c r="S185" t="str">
        <f t="shared" si="7"/>
        <v>Dieunomiaheteropoda</v>
      </c>
    </row>
    <row r="186" spans="1:19" x14ac:dyDescent="0.35">
      <c r="A186" s="1" t="s">
        <v>17</v>
      </c>
      <c r="B186" s="1" t="str">
        <f t="shared" si="6"/>
        <v>Dufoureaharveyi</v>
      </c>
      <c r="C186" s="1" t="s">
        <v>486</v>
      </c>
      <c r="E186" s="5" t="s">
        <v>487</v>
      </c>
      <c r="P186" t="str">
        <f>_xlfn.XLOOKUP("*" &amp; E186 &amp; "*",L:L,L:L, "Not Found in Ohio",2)</f>
        <v>Not Found in Ohio</v>
      </c>
      <c r="S186" t="str">
        <f t="shared" si="7"/>
        <v>Genus and species</v>
      </c>
    </row>
    <row r="187" spans="1:19" x14ac:dyDescent="0.35">
      <c r="B187" s="1" t="str">
        <f t="shared" si="6"/>
        <v>Dufoureamaura</v>
      </c>
      <c r="C187" s="1" t="s">
        <v>486</v>
      </c>
      <c r="E187" s="5" t="s">
        <v>488</v>
      </c>
      <c r="P187" t="str">
        <f>_xlfn.XLOOKUP("*" &amp; E187 &amp; "*",L:L,L:L, "Not Found in Ohio",2)</f>
        <v>Not Found in Ohio</v>
      </c>
      <c r="Q187" s="3"/>
      <c r="R187" s="3"/>
      <c r="S187" t="str">
        <f t="shared" si="7"/>
        <v>Genus and species</v>
      </c>
    </row>
    <row r="188" spans="1:19" x14ac:dyDescent="0.35">
      <c r="B188" s="1" t="str">
        <f t="shared" si="6"/>
        <v>Dufoureamonardae</v>
      </c>
      <c r="C188" s="1" t="s">
        <v>486</v>
      </c>
      <c r="E188" s="5" t="s">
        <v>489</v>
      </c>
      <c r="P188" t="str">
        <f>_xlfn.XLOOKUP("*" &amp; E188 &amp; "*",L:L,L:L, "Not Found in Ohio",2)</f>
        <v>Not Found in Ohio</v>
      </c>
      <c r="Q188" s="3"/>
      <c r="R188" s="3"/>
      <c r="S188" t="str">
        <f t="shared" si="7"/>
        <v>Genus and species</v>
      </c>
    </row>
    <row r="189" spans="1:19" x14ac:dyDescent="0.35">
      <c r="B189" s="1" t="str">
        <f>C189&amp;E189</f>
        <v>Dufoureanovaeangliae</v>
      </c>
      <c r="C189" s="1" t="s">
        <v>486</v>
      </c>
      <c r="E189" t="s">
        <v>988</v>
      </c>
      <c r="L189" t="s">
        <v>758</v>
      </c>
      <c r="P189" t="str">
        <f>_xlfn.XLOOKUP("*" &amp; E189 &amp; "*",L:L,L:L, "Not Found in Ohio",2)</f>
        <v>Dufoureanovaeangliae</v>
      </c>
      <c r="Q189" s="3"/>
      <c r="R189" s="3"/>
      <c r="S189" t="str">
        <f t="shared" si="7"/>
        <v>Dufoureanovaeangliae</v>
      </c>
    </row>
    <row r="190" spans="1:19" x14ac:dyDescent="0.35">
      <c r="A190" s="1" t="s">
        <v>5</v>
      </c>
      <c r="B190" s="1" t="str">
        <f t="shared" si="6"/>
        <v>Epeoloidespilosulus</v>
      </c>
      <c r="C190" s="1" t="s">
        <v>310</v>
      </c>
      <c r="E190" t="s">
        <v>311</v>
      </c>
      <c r="L190" t="s">
        <v>759</v>
      </c>
      <c r="P190" t="str">
        <f>_xlfn.XLOOKUP("*" &amp; E190 &amp; "*",L:L,L:L, "Not Found in Ohio",2)</f>
        <v>Epeoloidespilosulus</v>
      </c>
      <c r="Q190" s="3"/>
      <c r="R190" s="3"/>
      <c r="S190" t="str">
        <f t="shared" si="7"/>
        <v>Epeoloidespilosulus</v>
      </c>
    </row>
    <row r="191" spans="1:19" x14ac:dyDescent="0.35">
      <c r="A191" s="1" t="s">
        <v>3</v>
      </c>
      <c r="B191" s="1" t="str">
        <f t="shared" si="6"/>
        <v>Epeolusainslei</v>
      </c>
      <c r="C191" s="1" t="s">
        <v>251</v>
      </c>
      <c r="E191" s="5" t="s">
        <v>252</v>
      </c>
      <c r="L191" t="s">
        <v>760</v>
      </c>
      <c r="P191" t="str">
        <f>_xlfn.XLOOKUP("*" &amp; E191 &amp; "*",L:L,L:L, "Not Found in Ohio",2)</f>
        <v>Not Found in Ohio</v>
      </c>
      <c r="Q191" s="3"/>
      <c r="R191" s="3"/>
      <c r="S191" t="str">
        <f t="shared" si="7"/>
        <v>Epeolusautumnalis</v>
      </c>
    </row>
    <row r="192" spans="1:19" x14ac:dyDescent="0.35">
      <c r="B192" s="1" t="str">
        <f t="shared" si="6"/>
        <v>Epeolusamericanus</v>
      </c>
      <c r="C192" s="1" t="s">
        <v>251</v>
      </c>
      <c r="E192" s="5" t="s">
        <v>253</v>
      </c>
      <c r="L192" t="s">
        <v>761</v>
      </c>
      <c r="P192" s="5" t="str">
        <f>_xlfn.XLOOKUP("*" &amp; E192 &amp; "*",L:L,L:L, "Not Found in Ohio",2)</f>
        <v>Colletesamericanus</v>
      </c>
      <c r="S192" t="str">
        <f t="shared" si="7"/>
        <v>Epeolusbifasciatus</v>
      </c>
    </row>
    <row r="193" spans="1:19" x14ac:dyDescent="0.35">
      <c r="B193" s="1" t="str">
        <f t="shared" ref="B193:B206" si="8">C193&amp;E193</f>
        <v>Epeolusautumnalis</v>
      </c>
      <c r="C193" s="1" t="s">
        <v>251</v>
      </c>
      <c r="E193" t="s">
        <v>254</v>
      </c>
      <c r="L193" t="s">
        <v>762</v>
      </c>
      <c r="P193" t="str">
        <f>_xlfn.XLOOKUP("*" &amp; E193 &amp; "*",L:L,L:L, "Not Found in Ohio",2)</f>
        <v>Epeolusautumnalis</v>
      </c>
      <c r="S193" t="str">
        <f t="shared" si="7"/>
        <v>Epeoluslectoides</v>
      </c>
    </row>
    <row r="194" spans="1:19" x14ac:dyDescent="0.35">
      <c r="B194" s="1" t="str">
        <f t="shared" si="8"/>
        <v>Epeolusbifasciatus</v>
      </c>
      <c r="C194" s="1" t="s">
        <v>251</v>
      </c>
      <c r="E194" t="s">
        <v>989</v>
      </c>
      <c r="L194" t="s">
        <v>763</v>
      </c>
      <c r="P194" t="str">
        <f>_xlfn.XLOOKUP("*" &amp; E194 &amp; "*",L:L,L:L, "Not Found in Ohio",2)</f>
        <v>Epeolusbifasciatus</v>
      </c>
      <c r="S194" t="str">
        <f t="shared" si="7"/>
        <v>Epeolusscutellaris</v>
      </c>
    </row>
    <row r="195" spans="1:19" x14ac:dyDescent="0.35">
      <c r="B195" s="1" t="str">
        <f t="shared" si="8"/>
        <v>Epeoluscanadensis</v>
      </c>
      <c r="C195" s="1" t="s">
        <v>251</v>
      </c>
      <c r="E195" s="5" t="s">
        <v>47</v>
      </c>
      <c r="P195" s="5" t="str">
        <f>_xlfn.XLOOKUP("*" &amp; E195 &amp; "*",L:L,L:L, "Not Found in Ohio",2)</f>
        <v>Andrenacanadensis</v>
      </c>
      <c r="Q195" s="3"/>
      <c r="R195" s="3"/>
      <c r="S195" t="str">
        <f t="shared" ref="S195:S258" si="9">_xlfn.XLOOKUP("*"&amp;L195&amp;"*",B:B,B:B,"Not Found in Michigan",2)</f>
        <v>Genus and species</v>
      </c>
    </row>
    <row r="196" spans="1:19" x14ac:dyDescent="0.35">
      <c r="B196" s="1" t="str">
        <f t="shared" si="8"/>
        <v>Epeolusinterruptus</v>
      </c>
      <c r="C196" s="1" t="s">
        <v>251</v>
      </c>
      <c r="E196" s="5" t="s">
        <v>255</v>
      </c>
      <c r="P196" s="5" t="str">
        <f>_xlfn.XLOOKUP("*" &amp; E196 &amp; "*",L:L,L:L, "Not Found in Ohio",2)</f>
        <v>Not Found in Ohio</v>
      </c>
      <c r="Q196" s="3"/>
      <c r="R196" s="3"/>
      <c r="S196" t="str">
        <f t="shared" si="9"/>
        <v>Genus and species</v>
      </c>
    </row>
    <row r="197" spans="1:19" x14ac:dyDescent="0.35">
      <c r="B197" s="1" t="str">
        <f t="shared" si="8"/>
        <v>Epeoluslectoides</v>
      </c>
      <c r="C197" s="1" t="s">
        <v>251</v>
      </c>
      <c r="E197" t="s">
        <v>256</v>
      </c>
      <c r="P197" t="str">
        <f>_xlfn.XLOOKUP("*" &amp; E197 &amp; "*",L:L,L:L, "Not Found in Ohio",2)</f>
        <v>Epeoluslectoides</v>
      </c>
      <c r="Q197" s="3"/>
      <c r="R197" s="3"/>
      <c r="S197" t="str">
        <f t="shared" si="9"/>
        <v>Genus and species</v>
      </c>
    </row>
    <row r="198" spans="1:19" x14ac:dyDescent="0.35">
      <c r="B198" s="1" t="str">
        <f t="shared" si="8"/>
        <v>Epeolusminimus</v>
      </c>
      <c r="C198" s="1" t="s">
        <v>251</v>
      </c>
      <c r="E198" s="5" t="s">
        <v>257</v>
      </c>
      <c r="P198" s="5" t="str">
        <f>_xlfn.XLOOKUP("*" &amp; E198 &amp; "*",L:L,L:L, "Not Found in Ohio",2)</f>
        <v>Not Found in Ohio</v>
      </c>
      <c r="Q198" s="3"/>
      <c r="R198" s="3"/>
      <c r="S198" t="str">
        <f t="shared" si="9"/>
        <v>Genus and species</v>
      </c>
    </row>
    <row r="199" spans="1:19" x14ac:dyDescent="0.35">
      <c r="B199" s="1" t="str">
        <f t="shared" si="8"/>
        <v>Epeoluspusillus</v>
      </c>
      <c r="C199" s="1" t="s">
        <v>251</v>
      </c>
      <c r="E199" s="5" t="s">
        <v>258</v>
      </c>
      <c r="P199" s="5" t="str">
        <f>_xlfn.XLOOKUP("*" &amp; E199 &amp; "*",L:L,L:L, "Not Found in Ohio",2)</f>
        <v>Not Found in Ohio</v>
      </c>
      <c r="Q199" s="3"/>
      <c r="R199" s="3"/>
      <c r="S199" t="str">
        <f t="shared" si="9"/>
        <v>Genus and species</v>
      </c>
    </row>
    <row r="200" spans="1:19" x14ac:dyDescent="0.35">
      <c r="B200" s="1" t="str">
        <f t="shared" si="8"/>
        <v>Epeolusscutellaris</v>
      </c>
      <c r="C200" s="1" t="s">
        <v>251</v>
      </c>
      <c r="E200" t="s">
        <v>259</v>
      </c>
      <c r="P200" t="str">
        <f>_xlfn.XLOOKUP("*" &amp; E200 &amp; "*",L:L,L:L, "Not Found in Ohio",2)</f>
        <v>Epeolusscutellaris</v>
      </c>
      <c r="S200" t="str">
        <f t="shared" si="9"/>
        <v>Genus and species</v>
      </c>
    </row>
    <row r="201" spans="1:19" x14ac:dyDescent="0.35">
      <c r="A201" s="1" t="s">
        <v>0</v>
      </c>
      <c r="B201" s="1" t="str">
        <f t="shared" si="8"/>
        <v>Euceraatriventris</v>
      </c>
      <c r="C201" s="1" t="s">
        <v>217</v>
      </c>
      <c r="D201" t="s">
        <v>218</v>
      </c>
      <c r="E201" t="s">
        <v>219</v>
      </c>
      <c r="L201" t="s">
        <v>764</v>
      </c>
      <c r="P201" t="str">
        <f>_xlfn.XLOOKUP("*" &amp; E201 &amp; "*",L:L,L:L, "Not Found in Ohio",2)</f>
        <v>Euceraatriventris</v>
      </c>
      <c r="S201" t="str">
        <f t="shared" si="9"/>
        <v>Euceraatriventris</v>
      </c>
    </row>
    <row r="202" spans="1:19" x14ac:dyDescent="0.35">
      <c r="B202" s="1" t="str">
        <f t="shared" si="8"/>
        <v>Euceradubitata</v>
      </c>
      <c r="C202" s="1" t="s">
        <v>217</v>
      </c>
      <c r="D202" t="s">
        <v>218</v>
      </c>
      <c r="E202" t="s">
        <v>220</v>
      </c>
      <c r="L202" t="s">
        <v>765</v>
      </c>
      <c r="P202" t="str">
        <f>_xlfn.XLOOKUP("*" &amp; E202 &amp; "*",L:L,L:L, "Not Found in Ohio",2)</f>
        <v>Euceradubitata</v>
      </c>
      <c r="S202" t="str">
        <f t="shared" si="9"/>
        <v>Euceradubitata</v>
      </c>
    </row>
    <row r="203" spans="1:19" x14ac:dyDescent="0.35">
      <c r="B203" s="1" t="str">
        <f t="shared" si="8"/>
        <v>Eucerahamata</v>
      </c>
      <c r="C203" s="1" t="s">
        <v>217</v>
      </c>
      <c r="D203" t="s">
        <v>218</v>
      </c>
      <c r="E203" t="s">
        <v>221</v>
      </c>
      <c r="L203" t="s">
        <v>766</v>
      </c>
      <c r="P203" t="str">
        <f>_xlfn.XLOOKUP("*" &amp; E203 &amp; "*",L:L,L:L, "Not Found in Ohio",2)</f>
        <v>Eucerahamata</v>
      </c>
      <c r="Q203" s="3"/>
      <c r="R203" s="3"/>
      <c r="S203" t="str">
        <f t="shared" si="9"/>
        <v>Eucerahamata</v>
      </c>
    </row>
    <row r="204" spans="1:19" x14ac:dyDescent="0.35">
      <c r="B204" s="1" t="str">
        <f t="shared" si="8"/>
        <v/>
      </c>
      <c r="L204" t="s">
        <v>767</v>
      </c>
      <c r="P204" t="str">
        <f>_xlfn.XLOOKUP("*" &amp; E204 &amp; "*",L:L,L:L, "Not Found in Ohio",2)</f>
        <v>Ohio Regional Species pool</v>
      </c>
      <c r="Q204" s="3"/>
      <c r="R204" s="3"/>
      <c r="S204" t="str">
        <f t="shared" si="9"/>
        <v>Not Found in Michigan</v>
      </c>
    </row>
    <row r="205" spans="1:19" x14ac:dyDescent="0.35">
      <c r="B205" s="1" t="str">
        <f t="shared" si="8"/>
        <v>Florileguscondignus</v>
      </c>
      <c r="C205" s="1" t="s">
        <v>222</v>
      </c>
      <c r="D205" t="s">
        <v>223</v>
      </c>
      <c r="E205" s="5" t="s">
        <v>224</v>
      </c>
      <c r="P205" s="5" t="str">
        <f>_xlfn.XLOOKUP("*" &amp; E205 &amp; "*",L:L,L:L, "Not Found in Ohio",2)</f>
        <v>Not Found in Ohio</v>
      </c>
      <c r="Q205" s="3"/>
      <c r="R205" s="3"/>
      <c r="S205" t="str">
        <f t="shared" si="9"/>
        <v>Genus and species</v>
      </c>
    </row>
    <row r="206" spans="1:19" x14ac:dyDescent="0.35">
      <c r="B206" s="1" t="str">
        <f t="shared" si="8"/>
        <v>Habropodalaboriosa</v>
      </c>
      <c r="C206" s="1" t="s">
        <v>132</v>
      </c>
      <c r="E206" t="s">
        <v>133</v>
      </c>
      <c r="L206" t="s">
        <v>768</v>
      </c>
      <c r="P206" t="str">
        <f>_xlfn.XLOOKUP("*" &amp; E206 &amp; "*",L:L,L:L, "Not Found in Ohio",2)</f>
        <v>Habropodalaboriosa</v>
      </c>
      <c r="Q206" s="3"/>
      <c r="R206" s="3"/>
      <c r="S206" t="str">
        <f t="shared" si="9"/>
        <v>Habropodalaboriosa</v>
      </c>
    </row>
    <row r="207" spans="1:19" x14ac:dyDescent="0.35">
      <c r="B207" s="1" t="str">
        <f>C207&amp;E207</f>
        <v>Halictusparallelus</v>
      </c>
      <c r="C207" s="1" t="s">
        <v>376</v>
      </c>
      <c r="D207" t="s">
        <v>377</v>
      </c>
      <c r="E207" t="s">
        <v>378</v>
      </c>
      <c r="L207" t="s">
        <v>769</v>
      </c>
      <c r="P207" t="str">
        <f>_xlfn.XLOOKUP("*" &amp; E207 &amp; "*",L:L,L:L, "Not Found in Ohio",2)</f>
        <v>Halictusparallelus</v>
      </c>
      <c r="Q207" s="3"/>
      <c r="R207" s="3"/>
      <c r="S207" t="str">
        <f t="shared" si="9"/>
        <v>Halictusconfusus</v>
      </c>
    </row>
    <row r="208" spans="1:19" x14ac:dyDescent="0.35">
      <c r="B208" s="1" t="str">
        <f t="shared" ref="B208:B270" si="10">C208&amp;E208</f>
        <v>Halictusligatus</v>
      </c>
      <c r="C208" s="1" t="s">
        <v>376</v>
      </c>
      <c r="D208" t="s">
        <v>379</v>
      </c>
      <c r="E208" t="s">
        <v>380</v>
      </c>
      <c r="L208" t="s">
        <v>770</v>
      </c>
      <c r="P208" t="str">
        <f>_xlfn.XLOOKUP("*" &amp; E208 &amp; "*",L:L,L:L, "Not Found in Ohio",2)</f>
        <v>Halictusligatus</v>
      </c>
      <c r="Q208" s="3"/>
      <c r="R208" s="3"/>
      <c r="S208" t="str">
        <f t="shared" si="9"/>
        <v>Halictusligatus</v>
      </c>
    </row>
    <row r="209" spans="1:19" x14ac:dyDescent="0.35">
      <c r="B209" s="1" t="str">
        <f t="shared" si="10"/>
        <v>Halictusrubicundus</v>
      </c>
      <c r="C209" s="1" t="s">
        <v>376</v>
      </c>
      <c r="D209" t="s">
        <v>381</v>
      </c>
      <c r="E209" t="s">
        <v>382</v>
      </c>
      <c r="L209" t="s">
        <v>771</v>
      </c>
      <c r="P209" t="str">
        <f>_xlfn.XLOOKUP("*" &amp; E209 &amp; "*",L:L,L:L, "Not Found in Ohio",2)</f>
        <v>Halictusrubicundus</v>
      </c>
      <c r="Q209" s="3"/>
      <c r="R209" s="3"/>
      <c r="S209" t="str">
        <f t="shared" si="9"/>
        <v>Halictusparallelus</v>
      </c>
    </row>
    <row r="210" spans="1:19" x14ac:dyDescent="0.35">
      <c r="B210" s="1" t="str">
        <f t="shared" si="10"/>
        <v>Halictusconfusus</v>
      </c>
      <c r="C210" s="1" t="s">
        <v>376</v>
      </c>
      <c r="D210" t="s">
        <v>383</v>
      </c>
      <c r="E210" t="s">
        <v>384</v>
      </c>
      <c r="L210" t="s">
        <v>772</v>
      </c>
      <c r="P210" t="str">
        <f>_xlfn.XLOOKUP("*" &amp; E210 &amp; "*",L:L,L:L, "Not Found in Ohio",2)</f>
        <v>Halictusconfusus</v>
      </c>
      <c r="Q210" s="3"/>
      <c r="R210" s="3"/>
      <c r="S210" t="str">
        <f t="shared" si="9"/>
        <v>Halictusrubicundus</v>
      </c>
    </row>
    <row r="211" spans="1:19" x14ac:dyDescent="0.35">
      <c r="B211" s="1" t="str">
        <f t="shared" si="10"/>
        <v>Heriadescarinata</v>
      </c>
      <c r="C211" t="s">
        <v>573</v>
      </c>
      <c r="D211" t="s">
        <v>574</v>
      </c>
      <c r="E211" t="s">
        <v>575</v>
      </c>
      <c r="L211" t="s">
        <v>773</v>
      </c>
      <c r="P211" t="str">
        <f>_xlfn.XLOOKUP("*" &amp; E211 &amp; "*",L:L,L:L, "Not Found in Ohio",2)</f>
        <v>Heriadescarinata</v>
      </c>
      <c r="Q211" s="3"/>
      <c r="R211" s="3"/>
      <c r="S211" t="str">
        <f t="shared" si="9"/>
        <v>Heriadescarinata</v>
      </c>
    </row>
    <row r="212" spans="1:19" x14ac:dyDescent="0.35">
      <c r="B212" s="1" t="str">
        <f t="shared" si="10"/>
        <v>Heriadesleavitti</v>
      </c>
      <c r="C212" t="s">
        <v>573</v>
      </c>
      <c r="D212" t="s">
        <v>574</v>
      </c>
      <c r="E212" s="5" t="s">
        <v>576</v>
      </c>
      <c r="L212" t="s">
        <v>774</v>
      </c>
      <c r="P212" s="5" t="str">
        <f>_xlfn.XLOOKUP("*" &amp; E212 &amp; "*",L:L,L:L, "Not Found in Ohio",2)</f>
        <v>Not Found in Ohio</v>
      </c>
      <c r="Q212" s="3"/>
      <c r="R212" s="3"/>
      <c r="S212" t="str">
        <f t="shared" si="9"/>
        <v>Heriadesvariolosa</v>
      </c>
    </row>
    <row r="213" spans="1:19" x14ac:dyDescent="0.35">
      <c r="B213" s="1" t="str">
        <f t="shared" si="10"/>
        <v>Heriadesvariolosa</v>
      </c>
      <c r="C213" t="s">
        <v>573</v>
      </c>
      <c r="D213" t="s">
        <v>574</v>
      </c>
      <c r="E213" t="s">
        <v>577</v>
      </c>
      <c r="F213" t="s">
        <v>577</v>
      </c>
      <c r="P213" t="str">
        <f>_xlfn.XLOOKUP("*" &amp; E213 &amp; "*",L:L,L:L, "Not Found in Ohio",2)</f>
        <v>Heriadesvariolosa</v>
      </c>
      <c r="Q213" s="3"/>
      <c r="R213" s="3"/>
      <c r="S213" t="str">
        <f t="shared" si="9"/>
        <v>Genus and species</v>
      </c>
    </row>
    <row r="214" spans="1:19" x14ac:dyDescent="0.35">
      <c r="A214" s="1" t="s">
        <v>2</v>
      </c>
      <c r="B214" s="1" t="str">
        <f t="shared" si="10"/>
        <v>Holcopasitescalliopsidis</v>
      </c>
      <c r="C214" s="1" t="s">
        <v>249</v>
      </c>
      <c r="D214" t="s">
        <v>250</v>
      </c>
      <c r="E214" t="s">
        <v>250</v>
      </c>
      <c r="L214" t="s">
        <v>775</v>
      </c>
      <c r="P214" t="str">
        <f>_xlfn.XLOOKUP("*" &amp; E214 &amp; "*",L:L,L:L, "Not Found in Ohio",2)</f>
        <v>Holcopasitescalliopsidis</v>
      </c>
      <c r="Q214" s="3"/>
      <c r="R214" s="3"/>
      <c r="S214" t="str">
        <f t="shared" si="9"/>
        <v>Holcopasitescalliopsidis</v>
      </c>
    </row>
    <row r="215" spans="1:19" x14ac:dyDescent="0.35">
      <c r="A215" s="1"/>
      <c r="B215" s="1" t="str">
        <f t="shared" si="10"/>
        <v/>
      </c>
      <c r="C215" s="1"/>
      <c r="L215" t="s">
        <v>776</v>
      </c>
      <c r="P215" t="str">
        <f>_xlfn.XLOOKUP("*" &amp; E215 &amp; "*",L:L,L:L, "Not Found in Ohio",2)</f>
        <v>Ohio Regional Species pool</v>
      </c>
      <c r="Q215" s="3"/>
      <c r="R215" s="3"/>
      <c r="S215" t="str">
        <f t="shared" si="9"/>
        <v>Not Found in Michigan</v>
      </c>
    </row>
    <row r="216" spans="1:19" x14ac:dyDescent="0.35">
      <c r="B216" s="1" t="str">
        <f t="shared" si="10"/>
        <v>Hoplitisalbifrons</v>
      </c>
      <c r="C216" t="s">
        <v>578</v>
      </c>
      <c r="D216" t="s">
        <v>579</v>
      </c>
      <c r="E216" t="s">
        <v>580</v>
      </c>
      <c r="F216" s="5" t="s">
        <v>580</v>
      </c>
      <c r="P216" s="5" t="str">
        <f>_xlfn.XLOOKUP("*" &amp; E216 &amp; "*",L:L,L:L, "Not Found in Ohio",2)</f>
        <v>Not Found in Ohio</v>
      </c>
      <c r="S216" t="str">
        <f t="shared" si="9"/>
        <v>Genus and species</v>
      </c>
    </row>
    <row r="217" spans="1:19" x14ac:dyDescent="0.35">
      <c r="B217" s="1" t="str">
        <f t="shared" si="10"/>
        <v>Hoplitispilosifrons</v>
      </c>
      <c r="C217" t="s">
        <v>578</v>
      </c>
      <c r="D217" t="s">
        <v>579</v>
      </c>
      <c r="E217" t="s">
        <v>581</v>
      </c>
      <c r="L217" t="s">
        <v>777</v>
      </c>
      <c r="P217" t="str">
        <f>_xlfn.XLOOKUP("*" &amp; E217 &amp; "*",L:L,L:L, "Not Found in Ohio",2)</f>
        <v>Hoplitispilosifrons</v>
      </c>
      <c r="S217" t="str">
        <f t="shared" si="9"/>
        <v>Hoplitispilosifrons</v>
      </c>
    </row>
    <row r="218" spans="1:19" x14ac:dyDescent="0.35">
      <c r="B218" s="1" t="str">
        <f t="shared" si="10"/>
        <v>Hoplitisproduct</v>
      </c>
      <c r="C218" t="s">
        <v>578</v>
      </c>
      <c r="D218" t="s">
        <v>579</v>
      </c>
      <c r="E218" t="s">
        <v>582</v>
      </c>
      <c r="F218" t="s">
        <v>583</v>
      </c>
      <c r="L218" t="s">
        <v>778</v>
      </c>
      <c r="P218" t="str">
        <f>_xlfn.XLOOKUP("*" &amp; E218 &amp; "*",L:L,L:L, "Not Found in Ohio",2)</f>
        <v>Hoplitisproducta</v>
      </c>
      <c r="S218" t="str">
        <f t="shared" si="9"/>
        <v>Not Found in Michigan</v>
      </c>
    </row>
    <row r="219" spans="1:19" x14ac:dyDescent="0.35">
      <c r="B219" s="1" t="str">
        <f t="shared" si="10"/>
        <v>Hoplitisspoliata</v>
      </c>
      <c r="C219" t="s">
        <v>578</v>
      </c>
      <c r="D219" t="s">
        <v>579</v>
      </c>
      <c r="E219" t="s">
        <v>584</v>
      </c>
      <c r="L219" t="s">
        <v>779</v>
      </c>
      <c r="P219" t="str">
        <f>_xlfn.XLOOKUP("*" &amp; E219 &amp; "*",L:L,L:L, "Not Found in Ohio",2)</f>
        <v>Hoplitisspoliata</v>
      </c>
      <c r="S219" t="str">
        <f t="shared" si="9"/>
        <v>Hoplitisspoliata</v>
      </c>
    </row>
    <row r="220" spans="1:19" x14ac:dyDescent="0.35">
      <c r="B220" s="1" t="str">
        <f t="shared" si="10"/>
        <v>Hoplitistruncata</v>
      </c>
      <c r="C220" t="s">
        <v>578</v>
      </c>
      <c r="D220" t="s">
        <v>579</v>
      </c>
      <c r="E220" t="s">
        <v>585</v>
      </c>
      <c r="F220" t="s">
        <v>585</v>
      </c>
      <c r="L220" t="s">
        <v>780</v>
      </c>
      <c r="P220" t="str">
        <f>_xlfn.XLOOKUP("*" &amp; E220 &amp; "*",L:L,L:L, "Not Found in Ohio",2)</f>
        <v>Hoplitistruncata</v>
      </c>
      <c r="S220" t="str">
        <f t="shared" si="9"/>
        <v>Hoplitistruncata</v>
      </c>
    </row>
    <row r="221" spans="1:19" x14ac:dyDescent="0.35">
      <c r="A221" s="1" t="s">
        <v>11</v>
      </c>
      <c r="B221" s="1" t="str">
        <f t="shared" si="10"/>
        <v>Hylaeusbasalis</v>
      </c>
      <c r="C221" s="1" t="s">
        <v>340</v>
      </c>
      <c r="D221" t="s">
        <v>341</v>
      </c>
      <c r="E221" t="s">
        <v>342</v>
      </c>
      <c r="L221" t="s">
        <v>781</v>
      </c>
      <c r="P221" s="5" t="str">
        <f>_xlfn.XLOOKUP("*" &amp; E221 &amp; "*",L:L,L:L, "Not Found in Ohio",2)</f>
        <v>Not Found in Ohio</v>
      </c>
      <c r="S221" t="str">
        <f t="shared" si="9"/>
        <v>Hylaeusaffinismodestus</v>
      </c>
    </row>
    <row r="222" spans="1:19" x14ac:dyDescent="0.35">
      <c r="B222" s="1" t="str">
        <f t="shared" si="10"/>
        <v>Hylaeusannulatus</v>
      </c>
      <c r="C222" s="1" t="s">
        <v>340</v>
      </c>
      <c r="D222" t="s">
        <v>343</v>
      </c>
      <c r="E222" t="s">
        <v>344</v>
      </c>
      <c r="L222" t="s">
        <v>782</v>
      </c>
      <c r="P222" t="str">
        <f>_xlfn.XLOOKUP("*" &amp; E222 &amp; "*",L:L,L:L, "Not Found in Ohio",2)</f>
        <v>Hylaeusannulatus</v>
      </c>
      <c r="S222" t="str">
        <f t="shared" si="9"/>
        <v>Hylaeusannulatus</v>
      </c>
    </row>
    <row r="223" spans="1:19" x14ac:dyDescent="0.35">
      <c r="B223" s="1" t="str">
        <f t="shared" si="10"/>
        <v>Hylaeusfedorica</v>
      </c>
      <c r="C223" s="1" t="s">
        <v>340</v>
      </c>
      <c r="D223" t="s">
        <v>343</v>
      </c>
      <c r="E223" t="s">
        <v>345</v>
      </c>
      <c r="L223" t="s">
        <v>783</v>
      </c>
      <c r="P223" t="str">
        <f>_xlfn.XLOOKUP("*" &amp; E223 &amp; "*",L:L,L:L, "Not Found in Ohio",2)</f>
        <v>Hylaeusfedorica</v>
      </c>
      <c r="S223" t="str">
        <f t="shared" si="9"/>
        <v>Hylaeusfedorica</v>
      </c>
    </row>
    <row r="224" spans="1:19" x14ac:dyDescent="0.35">
      <c r="B224" s="1" t="str">
        <f t="shared" si="10"/>
        <v>Hylaeusleptocephalus</v>
      </c>
      <c r="C224" s="1" t="s">
        <v>340</v>
      </c>
      <c r="D224" t="s">
        <v>343</v>
      </c>
      <c r="E224" t="s">
        <v>346</v>
      </c>
      <c r="L224" t="s">
        <v>784</v>
      </c>
      <c r="P224" t="str">
        <f>_xlfn.XLOOKUP("*" &amp; E224 &amp; "*",L:L,L:L, "Not Found in Ohio",2)</f>
        <v>Hylaeusleptocephalus</v>
      </c>
      <c r="S224" t="str">
        <f t="shared" si="9"/>
        <v>Hylaeushyalinatus</v>
      </c>
    </row>
    <row r="225" spans="2:19" x14ac:dyDescent="0.35">
      <c r="B225" s="1" t="str">
        <f t="shared" si="10"/>
        <v>Hylaeusmesillae</v>
      </c>
      <c r="C225" s="1" t="s">
        <v>340</v>
      </c>
      <c r="D225" t="s">
        <v>343</v>
      </c>
      <c r="E225" t="s">
        <v>347</v>
      </c>
      <c r="L225" t="s">
        <v>785</v>
      </c>
      <c r="P225" t="str">
        <f>_xlfn.XLOOKUP("*" &amp; E225 &amp; "*",L:L,L:L, "Not Found in Ohio",2)</f>
        <v>Hylaeusmesillae</v>
      </c>
      <c r="S225" t="str">
        <f t="shared" si="9"/>
        <v>Hylaeusillinoisensis</v>
      </c>
    </row>
    <row r="226" spans="2:19" x14ac:dyDescent="0.35">
      <c r="B226" s="1" t="str">
        <f t="shared" si="10"/>
        <v>Hylaeusrudbeckiae</v>
      </c>
      <c r="C226" s="1" t="s">
        <v>340</v>
      </c>
      <c r="D226" t="s">
        <v>343</v>
      </c>
      <c r="E226" s="5" t="s">
        <v>44</v>
      </c>
      <c r="L226" t="s">
        <v>786</v>
      </c>
      <c r="P226" s="5" t="str">
        <f>_xlfn.XLOOKUP("*" &amp; E226 &amp; "*",L:L,L:L, "Not Found in Ohio",2)</f>
        <v>Andrenarudbeckiae</v>
      </c>
      <c r="S226" t="str">
        <f t="shared" si="9"/>
        <v>Hylaeusleptocephalus</v>
      </c>
    </row>
    <row r="227" spans="2:19" x14ac:dyDescent="0.35">
      <c r="B227" s="1" t="str">
        <f t="shared" si="10"/>
        <v>Hylaeussaniculae</v>
      </c>
      <c r="C227" s="1" t="s">
        <v>340</v>
      </c>
      <c r="D227" t="s">
        <v>343</v>
      </c>
      <c r="E227" t="s">
        <v>348</v>
      </c>
      <c r="L227" t="s">
        <v>787</v>
      </c>
      <c r="P227" t="str">
        <f>_xlfn.XLOOKUP("*" &amp; E227 &amp; "*",L:L,L:L, "Not Found in Ohio",2)</f>
        <v>Hylaeussaniculae</v>
      </c>
      <c r="S227" t="str">
        <f t="shared" si="9"/>
        <v>Hylaeusmesillae</v>
      </c>
    </row>
    <row r="228" spans="2:19" x14ac:dyDescent="0.35">
      <c r="B228" s="1" t="str">
        <f t="shared" si="10"/>
        <v>Hylaeusverticalis</v>
      </c>
      <c r="C228" s="1" t="s">
        <v>340</v>
      </c>
      <c r="D228" t="s">
        <v>343</v>
      </c>
      <c r="E228" s="5" t="s">
        <v>349</v>
      </c>
      <c r="L228" t="s">
        <v>788</v>
      </c>
      <c r="P228" s="5" t="str">
        <f>_xlfn.XLOOKUP("*" &amp; E228 &amp; "*",L:L,L:L, "Not Found in Ohio",2)</f>
        <v>Not Found in Ohio</v>
      </c>
      <c r="S228" t="str">
        <f t="shared" si="9"/>
        <v>Hylaeusnelumbonis</v>
      </c>
    </row>
    <row r="229" spans="2:19" x14ac:dyDescent="0.35">
      <c r="B229" s="1" t="str">
        <f t="shared" si="10"/>
        <v>Hylaeussparsus</v>
      </c>
      <c r="C229" s="1" t="s">
        <v>340</v>
      </c>
      <c r="D229" t="s">
        <v>350</v>
      </c>
      <c r="E229" s="5" t="s">
        <v>351</v>
      </c>
      <c r="L229" t="s">
        <v>789</v>
      </c>
      <c r="P229" s="5" t="str">
        <f>_xlfn.XLOOKUP("*" &amp; E229 &amp; "*",L:L,L:L, "Not Found in Ohio",2)</f>
        <v>Not Found in Ohio</v>
      </c>
      <c r="S229" t="str">
        <f t="shared" si="9"/>
        <v>Not Found in Michigan</v>
      </c>
    </row>
    <row r="230" spans="2:19" x14ac:dyDescent="0.35">
      <c r="B230" s="1" t="str">
        <f t="shared" si="10"/>
        <v>Hylaeusfloridanus</v>
      </c>
      <c r="C230" s="1" t="s">
        <v>340</v>
      </c>
      <c r="D230" t="s">
        <v>352</v>
      </c>
      <c r="E230" s="5" t="s">
        <v>353</v>
      </c>
      <c r="L230" t="s">
        <v>790</v>
      </c>
      <c r="P230" s="5" t="str">
        <f>_xlfn.XLOOKUP("*" &amp; E230 &amp; "*",L:L,L:L, "Not Found in Ohio",2)</f>
        <v>Not Found in Ohio</v>
      </c>
      <c r="S230" t="str">
        <f t="shared" si="9"/>
        <v>Hylaeussaniculae</v>
      </c>
    </row>
    <row r="231" spans="2:19" x14ac:dyDescent="0.35">
      <c r="B231" s="1" t="str">
        <f t="shared" si="10"/>
        <v>Hylaeusaffinismodestus</v>
      </c>
      <c r="C231" s="1" t="s">
        <v>340</v>
      </c>
      <c r="D231" t="s">
        <v>354</v>
      </c>
      <c r="E231" t="s">
        <v>994</v>
      </c>
      <c r="P231" t="str">
        <f>_xlfn.XLOOKUP("*" &amp; E231 &amp; "*",L:L,L:L, "Not Found in Ohio",2)</f>
        <v>Hylaeusaffinismodestus</v>
      </c>
      <c r="S231" t="str">
        <f t="shared" si="9"/>
        <v>Genus and species</v>
      </c>
    </row>
    <row r="232" spans="2:19" x14ac:dyDescent="0.35">
      <c r="B232" s="1" t="str">
        <f t="shared" si="10"/>
        <v>Hylaeusgaigei</v>
      </c>
      <c r="C232" s="2" t="s">
        <v>340</v>
      </c>
      <c r="D232" t="s">
        <v>354</v>
      </c>
      <c r="E232" s="5" t="s">
        <v>355</v>
      </c>
      <c r="K232" s="1"/>
      <c r="P232" s="5" t="str">
        <f>_xlfn.XLOOKUP("*" &amp; E232 &amp; "*",L:L,L:L, "Not Found in Ohio",2)</f>
        <v>Not Found in Ohio</v>
      </c>
      <c r="S232" t="str">
        <f t="shared" si="9"/>
        <v>Genus and species</v>
      </c>
    </row>
    <row r="233" spans="2:19" x14ac:dyDescent="0.35">
      <c r="B233" s="1" t="str">
        <f t="shared" si="10"/>
        <v>Hylaeusillinoisensis</v>
      </c>
      <c r="C233" s="1" t="s">
        <v>340</v>
      </c>
      <c r="D233" t="s">
        <v>354</v>
      </c>
      <c r="E233" t="s">
        <v>356</v>
      </c>
      <c r="P233" t="str">
        <f>_xlfn.XLOOKUP("*" &amp; E233 &amp; "*",L:L,L:L, "Not Found in Ohio",2)</f>
        <v>Hylaeusillinoisensis</v>
      </c>
      <c r="S233" t="str">
        <f t="shared" si="9"/>
        <v>Genus and species</v>
      </c>
    </row>
    <row r="234" spans="2:19" x14ac:dyDescent="0.35">
      <c r="B234" s="1" t="str">
        <f t="shared" si="10"/>
        <v>Hylaeusmodestus</v>
      </c>
      <c r="C234" s="1" t="s">
        <v>340</v>
      </c>
      <c r="D234" t="s">
        <v>354</v>
      </c>
      <c r="E234" t="s">
        <v>357</v>
      </c>
      <c r="P234" s="5" t="str">
        <f>_xlfn.XLOOKUP("*" &amp; E234 &amp; "*",L:L,L:L, "Not Found in Ohio",2)</f>
        <v>Coelioxysmodestus</v>
      </c>
      <c r="S234" t="str">
        <f t="shared" si="9"/>
        <v>Genus and species</v>
      </c>
    </row>
    <row r="235" spans="2:19" x14ac:dyDescent="0.35">
      <c r="B235" s="1" t="str">
        <f t="shared" si="10"/>
        <v>Hylaeusnelumbonis</v>
      </c>
      <c r="C235" s="1" t="s">
        <v>340</v>
      </c>
      <c r="D235" t="s">
        <v>354</v>
      </c>
      <c r="E235" t="s">
        <v>358</v>
      </c>
      <c r="P235" t="str">
        <f>_xlfn.XLOOKUP("*" &amp; E235 &amp; "*",L:L,L:L, "Not Found in Ohio",2)</f>
        <v>Hylaeusnelumbonis</v>
      </c>
      <c r="S235" t="str">
        <f t="shared" si="9"/>
        <v>Genus and species</v>
      </c>
    </row>
    <row r="236" spans="2:19" x14ac:dyDescent="0.35">
      <c r="B236" s="1" t="str">
        <f t="shared" si="10"/>
        <v>Hylaeushyalinatus</v>
      </c>
      <c r="C236" s="1" t="s">
        <v>340</v>
      </c>
      <c r="D236" t="s">
        <v>359</v>
      </c>
      <c r="E236" t="s">
        <v>360</v>
      </c>
      <c r="P236" t="str">
        <f>_xlfn.XLOOKUP("*" &amp; E236 &amp; "*",L:L,L:L, "Not Found in Ohio",2)</f>
        <v>Hylaeushyalinatus</v>
      </c>
      <c r="S236" t="str">
        <f t="shared" si="9"/>
        <v>Genus and species</v>
      </c>
    </row>
    <row r="237" spans="2:19" x14ac:dyDescent="0.35">
      <c r="B237" s="1" t="str">
        <f t="shared" si="10"/>
        <v>Lasioglossumabanci</v>
      </c>
      <c r="C237" s="1" t="s">
        <v>385</v>
      </c>
      <c r="D237" t="s">
        <v>386</v>
      </c>
      <c r="E237" t="s">
        <v>387</v>
      </c>
      <c r="L237" t="s">
        <v>791</v>
      </c>
      <c r="P237" t="str">
        <f>_xlfn.XLOOKUP("*" &amp; E237 &amp; "*",L:L,L:L, "Not Found in Ohio",2)</f>
        <v>Lasioglossumabanci</v>
      </c>
      <c r="S237" t="str">
        <f t="shared" si="9"/>
        <v>Lasioglossumabanci</v>
      </c>
    </row>
    <row r="238" spans="2:19" x14ac:dyDescent="0.35">
      <c r="B238" s="1" t="str">
        <f t="shared" si="10"/>
        <v>Lasioglossumachilleae</v>
      </c>
      <c r="C238" s="1" t="s">
        <v>385</v>
      </c>
      <c r="D238" t="s">
        <v>386</v>
      </c>
      <c r="E238" s="5" t="s">
        <v>388</v>
      </c>
      <c r="L238" t="s">
        <v>792</v>
      </c>
      <c r="P238" s="5" t="str">
        <f>_xlfn.XLOOKUP("*" &amp; E238 &amp; "*",L:L,L:L, "Not Found in Ohio",2)</f>
        <v>Not Found in Ohio</v>
      </c>
      <c r="S238" t="str">
        <f t="shared" si="9"/>
        <v>Lasioglossumadmirandum</v>
      </c>
    </row>
    <row r="239" spans="2:19" x14ac:dyDescent="0.35">
      <c r="B239" s="1" t="str">
        <f t="shared" si="10"/>
        <v>Lasioglossumadmirandum</v>
      </c>
      <c r="C239" s="1" t="s">
        <v>385</v>
      </c>
      <c r="D239" t="s">
        <v>386</v>
      </c>
      <c r="E239" t="s">
        <v>389</v>
      </c>
      <c r="L239" t="s">
        <v>793</v>
      </c>
      <c r="P239" t="str">
        <f>_xlfn.XLOOKUP("*" &amp; E239 &amp; "*",L:L,L:L, "Not Found in Ohio",2)</f>
        <v>Lasioglossumadmirandum</v>
      </c>
      <c r="S239" t="str">
        <f t="shared" si="9"/>
        <v>Lasioglossumalbipenne</v>
      </c>
    </row>
    <row r="240" spans="2:19" x14ac:dyDescent="0.35">
      <c r="B240" s="1" t="str">
        <f t="shared" si="10"/>
        <v>Lasioglossumalbipenne</v>
      </c>
      <c r="C240" s="1" t="s">
        <v>385</v>
      </c>
      <c r="D240" t="s">
        <v>386</v>
      </c>
      <c r="E240" t="s">
        <v>390</v>
      </c>
      <c r="L240" t="s">
        <v>794</v>
      </c>
      <c r="P240" t="str">
        <f>_xlfn.XLOOKUP("*" &amp; E240 &amp; "*",L:L,L:L, "Not Found in Ohio",2)</f>
        <v>Lasioglossumalbipenne</v>
      </c>
      <c r="S240" t="str">
        <f t="shared" si="9"/>
        <v>Lasioglossumanomalum</v>
      </c>
    </row>
    <row r="241" spans="2:19" x14ac:dyDescent="0.35">
      <c r="B241" s="1" t="str">
        <f t="shared" si="10"/>
        <v>Lasioglossumanomalum</v>
      </c>
      <c r="C241" s="1" t="s">
        <v>385</v>
      </c>
      <c r="D241" t="s">
        <v>386</v>
      </c>
      <c r="E241" t="s">
        <v>391</v>
      </c>
      <c r="L241" t="s">
        <v>795</v>
      </c>
      <c r="P241" t="str">
        <f>_xlfn.XLOOKUP("*" &amp; E241 &amp; "*",L:L,L:L, "Not Found in Ohio",2)</f>
        <v>Lasioglossumanomalum</v>
      </c>
      <c r="S241" t="str">
        <f t="shared" si="9"/>
        <v>Not Found in Michigan</v>
      </c>
    </row>
    <row r="242" spans="2:19" x14ac:dyDescent="0.35">
      <c r="B242" s="1" t="str">
        <f t="shared" si="10"/>
        <v>Lasioglossumatwoodi</v>
      </c>
      <c r="C242" s="1" t="s">
        <v>385</v>
      </c>
      <c r="D242" t="s">
        <v>386</v>
      </c>
      <c r="E242" s="5" t="s">
        <v>392</v>
      </c>
      <c r="L242" t="s">
        <v>796</v>
      </c>
      <c r="P242" s="5" t="str">
        <f>_xlfn.XLOOKUP("*" &amp; E242 &amp; "*",L:L,L:L, "Not Found in Ohio",2)</f>
        <v>Not Found in Ohio</v>
      </c>
      <c r="S242" t="str">
        <f t="shared" si="9"/>
        <v>Lasioglossumathabascense</v>
      </c>
    </row>
    <row r="243" spans="2:19" x14ac:dyDescent="0.35">
      <c r="B243" s="1" t="str">
        <f t="shared" si="10"/>
        <v>Lasioglossumbruneri</v>
      </c>
      <c r="C243" s="1" t="s">
        <v>385</v>
      </c>
      <c r="D243" t="s">
        <v>386</v>
      </c>
      <c r="E243" t="s">
        <v>393</v>
      </c>
      <c r="L243" t="s">
        <v>797</v>
      </c>
      <c r="P243" t="str">
        <f>_xlfn.XLOOKUP("*" &amp; E243 &amp; "*",L:L,L:L, "Not Found in Ohio",2)</f>
        <v>Lasioglossumbruneri</v>
      </c>
      <c r="S243" t="str">
        <f t="shared" si="9"/>
        <v>Lasioglossumbirkmanni</v>
      </c>
    </row>
    <row r="244" spans="2:19" x14ac:dyDescent="0.35">
      <c r="B244" s="1" t="str">
        <f t="shared" si="10"/>
        <v>Lasioglossumcallidum</v>
      </c>
      <c r="C244" s="1" t="s">
        <v>385</v>
      </c>
      <c r="D244" t="s">
        <v>386</v>
      </c>
      <c r="E244" t="s">
        <v>394</v>
      </c>
      <c r="L244" t="s">
        <v>798</v>
      </c>
      <c r="P244" t="str">
        <f>_xlfn.XLOOKUP("*" &amp; E244 &amp; "*",L:L,L:L, "Not Found in Ohio",2)</f>
        <v>Lasioglossumcallidum</v>
      </c>
      <c r="S244" t="str">
        <f t="shared" si="9"/>
        <v>Lasioglossumbruneri</v>
      </c>
    </row>
    <row r="245" spans="2:19" x14ac:dyDescent="0.35">
      <c r="B245" s="1" t="str">
        <f t="shared" si="10"/>
        <v>Lasioglossumcattellae</v>
      </c>
      <c r="C245" s="1" t="s">
        <v>385</v>
      </c>
      <c r="D245" t="s">
        <v>386</v>
      </c>
      <c r="E245" t="s">
        <v>395</v>
      </c>
      <c r="L245" t="s">
        <v>799</v>
      </c>
      <c r="P245" t="str">
        <f>_xlfn.XLOOKUP("*" &amp; E245 &amp; "*",L:L,L:L, "Not Found in Ohio",2)</f>
        <v>Lasioglossumcattellae</v>
      </c>
      <c r="S245" t="str">
        <f t="shared" si="9"/>
        <v>Lasioglossumcallidum</v>
      </c>
    </row>
    <row r="246" spans="2:19" x14ac:dyDescent="0.35">
      <c r="B246" s="1" t="str">
        <f t="shared" si="10"/>
        <v>Lasioglossumceanothi</v>
      </c>
      <c r="C246" s="1" t="s">
        <v>385</v>
      </c>
      <c r="D246" t="s">
        <v>386</v>
      </c>
      <c r="E246" s="5" t="s">
        <v>186</v>
      </c>
      <c r="L246" t="s">
        <v>800</v>
      </c>
      <c r="P246" s="5" t="str">
        <f>_xlfn.XLOOKUP("*" &amp; E246 &amp; "*",L:L,L:L, "Not Found in Ohio",2)</f>
        <v>Andrenaceanothi</v>
      </c>
      <c r="S246" t="str">
        <f t="shared" si="9"/>
        <v>Lasioglossumcattellae</v>
      </c>
    </row>
    <row r="247" spans="2:19" x14ac:dyDescent="0.35">
      <c r="B247" s="1" t="str">
        <f t="shared" si="10"/>
        <v>Lasioglossumcoeruleum</v>
      </c>
      <c r="C247" s="1" t="s">
        <v>385</v>
      </c>
      <c r="D247" t="s">
        <v>386</v>
      </c>
      <c r="E247" t="s">
        <v>396</v>
      </c>
      <c r="L247" t="s">
        <v>801</v>
      </c>
      <c r="P247" t="str">
        <f>_xlfn.XLOOKUP("*" &amp; E247 &amp; "*",L:L,L:L, "Not Found in Ohio",2)</f>
        <v>Lasioglossumcoeruleum</v>
      </c>
      <c r="S247" t="str">
        <f t="shared" si="9"/>
        <v>Lasioglossumcinctipes</v>
      </c>
    </row>
    <row r="248" spans="2:19" x14ac:dyDescent="0.35">
      <c r="B248" s="1" t="str">
        <f t="shared" si="10"/>
        <v>Lasioglossumcoreopsis</v>
      </c>
      <c r="C248" s="1" t="s">
        <v>385</v>
      </c>
      <c r="D248" t="s">
        <v>386</v>
      </c>
      <c r="E248" t="s">
        <v>397</v>
      </c>
      <c r="L248" t="s">
        <v>802</v>
      </c>
      <c r="P248" t="str">
        <f>_xlfn.XLOOKUP("*" &amp; E248 &amp; "*",L:L,L:L, "Not Found in Ohio",2)</f>
        <v>Lasioglossumcoreopsis</v>
      </c>
      <c r="S248" t="str">
        <f t="shared" si="9"/>
        <v>Lasioglossumcoeruleum</v>
      </c>
    </row>
    <row r="249" spans="2:19" x14ac:dyDescent="0.35">
      <c r="B249" s="1" t="str">
        <f t="shared" si="10"/>
        <v>Lasioglossumcressonii</v>
      </c>
      <c r="C249" s="1" t="s">
        <v>385</v>
      </c>
      <c r="D249" t="s">
        <v>386</v>
      </c>
      <c r="E249" t="s">
        <v>67</v>
      </c>
      <c r="L249" t="s">
        <v>803</v>
      </c>
      <c r="P249" t="str">
        <f>_xlfn.XLOOKUP("*" &amp; E249 &amp; "*",L:L,L:L, "Not Found in Ohio",2)</f>
        <v>Andrenacressonii</v>
      </c>
      <c r="S249" t="str">
        <f t="shared" si="9"/>
        <v>Lasioglossumcoreopsis</v>
      </c>
    </row>
    <row r="250" spans="2:19" x14ac:dyDescent="0.35">
      <c r="B250" s="1" t="str">
        <f t="shared" si="10"/>
        <v>Lasioglossumdreisbachi</v>
      </c>
      <c r="C250" s="1" t="s">
        <v>385</v>
      </c>
      <c r="D250" t="s">
        <v>386</v>
      </c>
      <c r="E250" s="5" t="s">
        <v>285</v>
      </c>
      <c r="L250" t="s">
        <v>804</v>
      </c>
      <c r="P250" s="5" t="str">
        <f>_xlfn.XLOOKUP("*" &amp; E250 &amp; "*",L:L,L:L, "Not Found in Ohio",2)</f>
        <v>Not Found in Ohio</v>
      </c>
      <c r="S250" t="str">
        <f t="shared" si="9"/>
        <v>Lasioglossumcoriaceum</v>
      </c>
    </row>
    <row r="251" spans="2:19" x14ac:dyDescent="0.35">
      <c r="B251" s="1" t="str">
        <f t="shared" si="10"/>
        <v>Lasioglossumellisiae</v>
      </c>
      <c r="C251" s="1" t="s">
        <v>385</v>
      </c>
      <c r="D251" t="s">
        <v>386</v>
      </c>
      <c r="E251" t="s">
        <v>398</v>
      </c>
      <c r="L251" t="s">
        <v>805</v>
      </c>
      <c r="P251" t="str">
        <f>_xlfn.XLOOKUP("*" &amp; E251 &amp; "*",L:L,L:L, "Not Found in Ohio",2)</f>
        <v>Lasioglossumellisiae</v>
      </c>
      <c r="S251" t="str">
        <f t="shared" si="9"/>
        <v>Lasioglossumcressonii</v>
      </c>
    </row>
    <row r="252" spans="2:19" x14ac:dyDescent="0.35">
      <c r="B252" s="1" t="str">
        <f t="shared" si="10"/>
        <v>Lasioglossumephialtum</v>
      </c>
      <c r="C252" s="1" t="s">
        <v>385</v>
      </c>
      <c r="D252" t="s">
        <v>386</v>
      </c>
      <c r="E252" t="s">
        <v>399</v>
      </c>
      <c r="L252" t="s">
        <v>806</v>
      </c>
      <c r="P252" t="str">
        <f>_xlfn.XLOOKUP("*" &amp; E252 &amp; "*",L:L,L:L, "Not Found in Ohio",2)</f>
        <v>Lasioglossumephialtum</v>
      </c>
      <c r="S252" t="str">
        <f t="shared" si="9"/>
        <v>Lasioglossumellisiae</v>
      </c>
    </row>
    <row r="253" spans="2:19" x14ac:dyDescent="0.35">
      <c r="B253" s="1" t="str">
        <f t="shared" si="10"/>
        <v>Lasioglossumfattigi</v>
      </c>
      <c r="C253" s="1" t="s">
        <v>385</v>
      </c>
      <c r="D253" t="s">
        <v>386</v>
      </c>
      <c r="E253" s="5" t="s">
        <v>400</v>
      </c>
      <c r="L253" t="s">
        <v>807</v>
      </c>
      <c r="P253" s="5" t="str">
        <f>_xlfn.XLOOKUP("*" &amp; E253 &amp; "*",L:L,L:L, "Not Found in Ohio",2)</f>
        <v>Not Found in Ohio</v>
      </c>
      <c r="S253" t="str">
        <f t="shared" si="9"/>
        <v>Lasioglossumephialtum</v>
      </c>
    </row>
    <row r="254" spans="2:19" ht="13.5" customHeight="1" x14ac:dyDescent="0.35">
      <c r="B254" s="1" t="str">
        <f t="shared" si="10"/>
        <v>Lasioglossumfloridanum</v>
      </c>
      <c r="C254" s="1" t="s">
        <v>385</v>
      </c>
      <c r="D254" t="s">
        <v>386</v>
      </c>
      <c r="E254" s="5" t="s">
        <v>401</v>
      </c>
      <c r="L254" t="s">
        <v>808</v>
      </c>
      <c r="P254" s="5" t="str">
        <f>_xlfn.XLOOKUP("*" &amp; E254 &amp; "*",L:L,L:L, "Not Found in Ohio",2)</f>
        <v>Not Found in Ohio</v>
      </c>
      <c r="S254" t="str">
        <f t="shared" si="9"/>
        <v>Lasioglossumforbesii</v>
      </c>
    </row>
    <row r="255" spans="2:19" x14ac:dyDescent="0.35">
      <c r="B255" s="1" t="str">
        <f t="shared" si="10"/>
        <v>Lasioglossumfoveolatum</v>
      </c>
      <c r="C255" s="1" t="s">
        <v>385</v>
      </c>
      <c r="D255" t="s">
        <v>386</v>
      </c>
      <c r="E255" s="5" t="s">
        <v>402</v>
      </c>
      <c r="L255" t="s">
        <v>809</v>
      </c>
      <c r="P255" s="5" t="str">
        <f>_xlfn.XLOOKUP("*" &amp; E255 &amp; "*",L:L,L:L, "Not Found in Ohio",2)</f>
        <v>Not Found in Ohio</v>
      </c>
      <c r="S255" t="str">
        <f t="shared" si="9"/>
        <v>Lasioglossumfoxii</v>
      </c>
    </row>
    <row r="256" spans="2:19" x14ac:dyDescent="0.35">
      <c r="B256" s="1" t="str">
        <f t="shared" si="10"/>
        <v>Lasioglossumgotham</v>
      </c>
      <c r="C256" s="1" t="s">
        <v>385</v>
      </c>
      <c r="D256" t="s">
        <v>386</v>
      </c>
      <c r="E256" t="s">
        <v>403</v>
      </c>
      <c r="L256" t="s">
        <v>810</v>
      </c>
      <c r="P256" t="str">
        <f>_xlfn.XLOOKUP("*" &amp; E256 &amp; "*",L:L,L:L, "Not Found in Ohio",2)</f>
        <v>Lasioglossumgotham</v>
      </c>
      <c r="S256" t="str">
        <f t="shared" si="9"/>
        <v>Lasioglossumfuscipenne</v>
      </c>
    </row>
    <row r="257" spans="2:19" x14ac:dyDescent="0.35">
      <c r="B257" s="1" t="str">
        <f t="shared" si="10"/>
        <v>Lasioglossumhartii</v>
      </c>
      <c r="C257" s="1" t="s">
        <v>385</v>
      </c>
      <c r="D257" t="s">
        <v>386</v>
      </c>
      <c r="E257" s="5" t="s">
        <v>404</v>
      </c>
      <c r="L257" t="s">
        <v>811</v>
      </c>
      <c r="P257" s="5" t="str">
        <f>_xlfn.XLOOKUP("*" &amp; E257 &amp; "*",L:L,L:L, "Not Found in Ohio",2)</f>
        <v>Not Found in Ohio</v>
      </c>
      <c r="S257" t="str">
        <f t="shared" si="9"/>
        <v>Lasioglossumgotham</v>
      </c>
    </row>
    <row r="258" spans="2:19" x14ac:dyDescent="0.35">
      <c r="B258" s="1" t="str">
        <f t="shared" si="10"/>
        <v>Lasioglossumheterognathus</v>
      </c>
      <c r="C258" s="1" t="s">
        <v>385</v>
      </c>
      <c r="D258" t="s">
        <v>386</v>
      </c>
      <c r="E258" t="s">
        <v>990</v>
      </c>
      <c r="L258" t="s">
        <v>812</v>
      </c>
      <c r="P258" t="str">
        <f>_xlfn.XLOOKUP("*" &amp; E258 &amp; "*",L:L,L:L, "Not Found in Ohio",2)</f>
        <v>Lasioglossumheterognathus</v>
      </c>
      <c r="S258" t="str">
        <f t="shared" si="9"/>
        <v>Lasioglossumheterognathus</v>
      </c>
    </row>
    <row r="259" spans="2:19" x14ac:dyDescent="0.35">
      <c r="B259" s="1" t="str">
        <f t="shared" si="10"/>
        <v>Lasioglossumhitchensi</v>
      </c>
      <c r="C259" s="1" t="s">
        <v>385</v>
      </c>
      <c r="D259" t="s">
        <v>386</v>
      </c>
      <c r="E259" t="s">
        <v>405</v>
      </c>
      <c r="L259" t="s">
        <v>813</v>
      </c>
      <c r="P259" t="str">
        <f>_xlfn.XLOOKUP("*" &amp; E259 &amp; "*",L:L,L:L, "Not Found in Ohio",2)</f>
        <v>Lasioglossumhitchensi</v>
      </c>
      <c r="S259" t="str">
        <f t="shared" ref="S259:S322" si="11">_xlfn.XLOOKUP("*"&amp;L259&amp;"*",B:B,B:B,"Not Found in Michigan",2)</f>
        <v>Lasioglossumhitchensi</v>
      </c>
    </row>
    <row r="260" spans="2:19" x14ac:dyDescent="0.35">
      <c r="B260" s="1" t="str">
        <f t="shared" si="10"/>
        <v>Lasioglossumillinoense</v>
      </c>
      <c r="C260" s="1" t="s">
        <v>385</v>
      </c>
      <c r="D260" t="s">
        <v>386</v>
      </c>
      <c r="E260" t="s">
        <v>406</v>
      </c>
      <c r="L260" t="s">
        <v>814</v>
      </c>
      <c r="P260" t="str">
        <f>_xlfn.XLOOKUP("*" &amp; E260 &amp; "*",L:L,L:L, "Not Found in Ohio",2)</f>
        <v>Lasioglossumillinoense</v>
      </c>
      <c r="S260" t="str">
        <f t="shared" si="11"/>
        <v>Lasioglossumillinoense</v>
      </c>
    </row>
    <row r="261" spans="2:19" x14ac:dyDescent="0.35">
      <c r="B261" s="1" t="str">
        <f t="shared" si="10"/>
        <v>Lasioglossumimitatum</v>
      </c>
      <c r="C261" s="2" t="s">
        <v>385</v>
      </c>
      <c r="D261" t="s">
        <v>386</v>
      </c>
      <c r="E261" t="s">
        <v>407</v>
      </c>
      <c r="L261" t="s">
        <v>815</v>
      </c>
      <c r="P261" t="str">
        <f>_xlfn.XLOOKUP("*" &amp; E261 &amp; "*",L:L,L:L, "Not Found in Ohio",2)</f>
        <v>Lasioglossumimitatum</v>
      </c>
      <c r="S261" t="str">
        <f t="shared" si="11"/>
        <v>Lasioglossumimitatum</v>
      </c>
    </row>
    <row r="262" spans="2:19" x14ac:dyDescent="0.35">
      <c r="B262" s="1" t="str">
        <f t="shared" si="10"/>
        <v>Lasioglossumlaevissimum</v>
      </c>
      <c r="C262" s="1" t="s">
        <v>385</v>
      </c>
      <c r="D262" t="s">
        <v>386</v>
      </c>
      <c r="E262" t="s">
        <v>408</v>
      </c>
      <c r="L262" t="s">
        <v>816</v>
      </c>
      <c r="P262" t="str">
        <f>_xlfn.XLOOKUP("*" &amp; E262 &amp; "*",L:L,L:L, "Not Found in Ohio",2)</f>
        <v>Lasioglossumlaevissimum</v>
      </c>
      <c r="S262" t="str">
        <f t="shared" si="11"/>
        <v>Lasioglossumlaevissimum</v>
      </c>
    </row>
    <row r="263" spans="2:19" x14ac:dyDescent="0.35">
      <c r="B263" s="1" t="str">
        <f t="shared" si="10"/>
        <v>Lasioglossumleucocomus</v>
      </c>
      <c r="C263" s="1" t="s">
        <v>385</v>
      </c>
      <c r="D263" t="s">
        <v>386</v>
      </c>
      <c r="E263" t="s">
        <v>991</v>
      </c>
      <c r="L263" t="s">
        <v>817</v>
      </c>
      <c r="P263" t="str">
        <f>_xlfn.XLOOKUP("*" &amp; E263 &amp; "*",L:L,L:L, "Not Found in Ohio",2)</f>
        <v>Lasioglossumleucocomus</v>
      </c>
      <c r="S263" t="str">
        <f t="shared" si="11"/>
        <v>Lasioglossumleucocomus</v>
      </c>
    </row>
    <row r="264" spans="2:19" x14ac:dyDescent="0.35">
      <c r="B264" s="1" t="str">
        <f t="shared" si="10"/>
        <v/>
      </c>
      <c r="L264" t="s">
        <v>818</v>
      </c>
      <c r="P264" t="str">
        <f>_xlfn.XLOOKUP("*" &amp; E264 &amp; "*",L:L,L:L, "Not Found in Ohio",2)</f>
        <v>Ohio Regional Species pool</v>
      </c>
      <c r="S264" t="str">
        <f t="shared" si="11"/>
        <v>Lasioglossumleucozonium</v>
      </c>
    </row>
    <row r="265" spans="2:19" x14ac:dyDescent="0.35">
      <c r="B265" s="1" t="str">
        <f t="shared" si="10"/>
        <v>Lasioglossumlineatulum</v>
      </c>
      <c r="C265" s="1" t="s">
        <v>385</v>
      </c>
      <c r="D265" t="s">
        <v>386</v>
      </c>
      <c r="E265" t="s">
        <v>409</v>
      </c>
      <c r="L265" t="s">
        <v>819</v>
      </c>
      <c r="P265" t="str">
        <f>_xlfn.XLOOKUP("*" &amp; E265 &amp; "*",L:L,L:L, "Not Found in Ohio",2)</f>
        <v>Lasioglossumlineatulum</v>
      </c>
      <c r="S265" t="str">
        <f t="shared" si="11"/>
        <v>Lasioglossumlineatulum</v>
      </c>
    </row>
    <row r="266" spans="2:19" x14ac:dyDescent="0.35">
      <c r="B266" s="1" t="str">
        <f t="shared" si="10"/>
        <v>Lasioglossumlionotus</v>
      </c>
      <c r="C266" s="1" t="s">
        <v>385</v>
      </c>
      <c r="D266" t="s">
        <v>386</v>
      </c>
      <c r="E266" t="s">
        <v>992</v>
      </c>
      <c r="H266" t="s">
        <v>980</v>
      </c>
      <c r="L266" t="s">
        <v>820</v>
      </c>
      <c r="P266" t="str">
        <f>_xlfn.XLOOKUP("*" &amp; E266 &amp; "*",L:L,L:L, "Not Found in Ohio",2)</f>
        <v>Lasioglossumlionotus</v>
      </c>
      <c r="Q266" s="3"/>
      <c r="R266" s="3"/>
      <c r="S266" t="str">
        <f t="shared" si="11"/>
        <v>Lasioglossumlionotus</v>
      </c>
    </row>
    <row r="267" spans="2:19" x14ac:dyDescent="0.35">
      <c r="B267" s="1" t="str">
        <f t="shared" si="10"/>
        <v>Lasioglossummichiganense</v>
      </c>
      <c r="C267" s="1" t="s">
        <v>385</v>
      </c>
      <c r="D267" t="s">
        <v>386</v>
      </c>
      <c r="E267" t="s">
        <v>410</v>
      </c>
      <c r="L267" t="s">
        <v>821</v>
      </c>
      <c r="P267" t="str">
        <f>_xlfn.XLOOKUP("*" &amp; E267 &amp; "*",L:L,L:L, "Not Found in Ohio",2)</f>
        <v>Lasioglossummichiganense</v>
      </c>
      <c r="Q267" s="3"/>
      <c r="R267" s="3"/>
      <c r="S267" t="str">
        <f t="shared" si="11"/>
        <v>Lasioglossumlustrans</v>
      </c>
    </row>
    <row r="268" spans="2:19" x14ac:dyDescent="0.35">
      <c r="B268" s="1" t="str">
        <f t="shared" si="10"/>
        <v>Lasioglossumnigroviride</v>
      </c>
      <c r="C268" s="1" t="s">
        <v>385</v>
      </c>
      <c r="D268" t="s">
        <v>386</v>
      </c>
      <c r="E268" t="s">
        <v>411</v>
      </c>
      <c r="L268" t="s">
        <v>822</v>
      </c>
      <c r="P268" t="str">
        <f>_xlfn.XLOOKUP("*" &amp; E268 &amp; "*",L:L,L:L, "Not Found in Ohio",2)</f>
        <v>Lasioglossumnigroviride</v>
      </c>
      <c r="Q268" s="3"/>
      <c r="R268" s="3"/>
      <c r="S268" t="str">
        <f t="shared" si="11"/>
        <v>Lasioglossummacoupinense</v>
      </c>
    </row>
    <row r="269" spans="2:19" x14ac:dyDescent="0.35">
      <c r="B269" s="1" t="str">
        <f t="shared" si="10"/>
        <v>Lasioglossumnovascotiae</v>
      </c>
      <c r="C269" s="1" t="s">
        <v>385</v>
      </c>
      <c r="D269" t="s">
        <v>386</v>
      </c>
      <c r="E269" s="5" t="s">
        <v>412</v>
      </c>
      <c r="L269" t="s">
        <v>823</v>
      </c>
      <c r="P269" s="5" t="str">
        <f>_xlfn.XLOOKUP("*" &amp; E269 &amp; "*",L:L,L:L, "Not Found in Ohio",2)</f>
        <v>Not Found in Ohio</v>
      </c>
      <c r="Q269" s="3"/>
      <c r="R269" s="3"/>
      <c r="S269" t="str">
        <f t="shared" si="11"/>
        <v>Lasioglossummichiganense</v>
      </c>
    </row>
    <row r="270" spans="2:19" x14ac:dyDescent="0.35">
      <c r="B270" s="1" t="str">
        <f t="shared" si="10"/>
        <v>Lasioglossumoblongum</v>
      </c>
      <c r="C270" s="1" t="s">
        <v>385</v>
      </c>
      <c r="D270" t="s">
        <v>386</v>
      </c>
      <c r="E270" t="s">
        <v>413</v>
      </c>
      <c r="L270" t="s">
        <v>824</v>
      </c>
      <c r="P270" t="str">
        <f>_xlfn.XLOOKUP("*" &amp; E270 &amp; "*",L:L,L:L, "Not Found in Ohio",2)</f>
        <v>Lasioglossumoblongum</v>
      </c>
      <c r="Q270" s="3"/>
      <c r="R270" s="3"/>
      <c r="S270" t="str">
        <f t="shared" si="11"/>
        <v>Lasioglossumnelumbonis</v>
      </c>
    </row>
    <row r="271" spans="2:19" x14ac:dyDescent="0.35">
      <c r="B271" s="1" t="str">
        <f t="shared" ref="B271:B333" si="12">C271&amp;E271</f>
        <v>Lasioglossumobscurum</v>
      </c>
      <c r="C271" s="1" t="s">
        <v>385</v>
      </c>
      <c r="D271" t="s">
        <v>386</v>
      </c>
      <c r="E271" t="s">
        <v>414</v>
      </c>
      <c r="L271" t="s">
        <v>825</v>
      </c>
      <c r="P271" t="str">
        <f>_xlfn.XLOOKUP("*" &amp; E271 &amp; "*",L:L,L:L, "Not Found in Ohio",2)</f>
        <v>Lasioglossumobscurum</v>
      </c>
      <c r="S271" t="str">
        <f t="shared" si="11"/>
        <v>Lasioglossumnigroviride</v>
      </c>
    </row>
    <row r="272" spans="2:19" x14ac:dyDescent="0.35">
      <c r="B272" s="1" t="str">
        <f t="shared" si="12"/>
        <v>Lasioglossumoceanicum</v>
      </c>
      <c r="C272" s="1" t="s">
        <v>385</v>
      </c>
      <c r="D272" t="s">
        <v>386</v>
      </c>
      <c r="E272" t="s">
        <v>415</v>
      </c>
      <c r="L272" t="s">
        <v>826</v>
      </c>
      <c r="P272" t="str">
        <f>_xlfn.XLOOKUP("*" &amp; E272 &amp; "*",L:L,L:L, "Not Found in Ohio",2)</f>
        <v>Lasioglossumoceanicum</v>
      </c>
      <c r="S272" t="str">
        <f t="shared" si="11"/>
        <v>Lasioglossumoblongum</v>
      </c>
    </row>
    <row r="273" spans="2:19" x14ac:dyDescent="0.35">
      <c r="B273" s="1" t="str">
        <f t="shared" si="12"/>
        <v>Lasioglossumparadmirandum</v>
      </c>
      <c r="C273" s="1" t="s">
        <v>385</v>
      </c>
      <c r="D273" t="s">
        <v>386</v>
      </c>
      <c r="E273" t="s">
        <v>416</v>
      </c>
      <c r="L273" t="s">
        <v>827</v>
      </c>
      <c r="P273" t="str">
        <f>_xlfn.XLOOKUP("*" &amp; E273 &amp; "*",L:L,L:L, "Not Found in Ohio",2)</f>
        <v>Lasioglossumparadmirandum</v>
      </c>
      <c r="S273" t="str">
        <f t="shared" si="11"/>
        <v>Lasioglossumobscurum</v>
      </c>
    </row>
    <row r="274" spans="2:19" x14ac:dyDescent="0.35">
      <c r="B274" s="1" t="str">
        <f t="shared" si="12"/>
        <v>Lasioglossumperpunctatum</v>
      </c>
      <c r="C274" s="1" t="s">
        <v>385</v>
      </c>
      <c r="D274" t="s">
        <v>386</v>
      </c>
      <c r="E274" t="s">
        <v>417</v>
      </c>
      <c r="L274" t="s">
        <v>828</v>
      </c>
      <c r="P274" t="str">
        <f>_xlfn.XLOOKUP("*" &amp; E274 &amp; "*",L:L,L:L, "Not Found in Ohio",2)</f>
        <v>Lasioglossumperpunctatum</v>
      </c>
      <c r="Q274" s="3"/>
      <c r="R274" s="3"/>
      <c r="S274" t="str">
        <f t="shared" si="11"/>
        <v>Lasioglossumoceanicum</v>
      </c>
    </row>
    <row r="275" spans="2:19" x14ac:dyDescent="0.35">
      <c r="B275" s="1" t="str">
        <f t="shared" si="12"/>
        <v>Lasioglossumpictum</v>
      </c>
      <c r="C275" s="1" t="s">
        <v>385</v>
      </c>
      <c r="D275" t="s">
        <v>386</v>
      </c>
      <c r="E275" s="5" t="s">
        <v>418</v>
      </c>
      <c r="L275" t="s">
        <v>829</v>
      </c>
      <c r="P275" s="5" t="str">
        <f>_xlfn.XLOOKUP("*" &amp; E275 &amp; "*",L:L,L:L, "Not Found in Ohio",2)</f>
        <v>Not Found in Ohio</v>
      </c>
      <c r="Q275" s="3"/>
      <c r="R275" s="3"/>
      <c r="S275" t="str">
        <f t="shared" si="11"/>
        <v>Lasioglossumparadmirandum</v>
      </c>
    </row>
    <row r="276" spans="2:19" x14ac:dyDescent="0.35">
      <c r="B276" s="1" t="str">
        <f t="shared" si="12"/>
        <v>Lasioglossumpilosum</v>
      </c>
      <c r="C276" s="1" t="s">
        <v>385</v>
      </c>
      <c r="D276" t="s">
        <v>386</v>
      </c>
      <c r="E276" t="s">
        <v>419</v>
      </c>
      <c r="L276" t="s">
        <v>830</v>
      </c>
      <c r="P276" t="str">
        <f>_xlfn.XLOOKUP("*" &amp; E276 &amp; "*",L:L,L:L, "Not Found in Ohio",2)</f>
        <v>Lasioglossumpilosum</v>
      </c>
      <c r="Q276" s="3"/>
      <c r="R276" s="3"/>
      <c r="S276" t="str">
        <f t="shared" si="11"/>
        <v>Lasioglossumparaforbesii</v>
      </c>
    </row>
    <row r="277" spans="2:19" x14ac:dyDescent="0.35">
      <c r="B277" s="1" t="str">
        <f t="shared" si="12"/>
        <v>Lasioglossumplanatum</v>
      </c>
      <c r="C277" s="1" t="s">
        <v>385</v>
      </c>
      <c r="D277" t="s">
        <v>386</v>
      </c>
      <c r="E277" s="5" t="s">
        <v>420</v>
      </c>
      <c r="L277" t="s">
        <v>831</v>
      </c>
      <c r="P277" s="5" t="str">
        <f>_xlfn.XLOOKUP("*" &amp; E277 &amp; "*",L:L,L:L, "Not Found in Ohio",2)</f>
        <v>Not Found in Ohio</v>
      </c>
      <c r="Q277" s="3"/>
      <c r="R277" s="3"/>
      <c r="S277" t="str">
        <f t="shared" si="11"/>
        <v>Not Found in Michigan</v>
      </c>
    </row>
    <row r="278" spans="2:19" x14ac:dyDescent="0.35">
      <c r="B278" s="1" t="str">
        <f t="shared" si="12"/>
        <v>Lasioglossumplatyparium</v>
      </c>
      <c r="C278" s="1" t="s">
        <v>385</v>
      </c>
      <c r="D278" t="s">
        <v>386</v>
      </c>
      <c r="E278" s="5" t="s">
        <v>421</v>
      </c>
      <c r="L278" t="s">
        <v>832</v>
      </c>
      <c r="P278" s="5" t="str">
        <f>_xlfn.XLOOKUP("*" &amp; E278 &amp; "*",L:L,L:L, "Not Found in Ohio",2)</f>
        <v>Not Found in Ohio</v>
      </c>
      <c r="Q278" s="3"/>
      <c r="R278" s="3"/>
      <c r="S278" t="str">
        <f t="shared" si="11"/>
        <v>Lasioglossumpectorale</v>
      </c>
    </row>
    <row r="279" spans="2:19" x14ac:dyDescent="0.35">
      <c r="B279" s="1" t="str">
        <f t="shared" si="12"/>
        <v>Lasioglossumpruinosum</v>
      </c>
      <c r="C279" s="1" t="s">
        <v>385</v>
      </c>
      <c r="D279" t="s">
        <v>386</v>
      </c>
      <c r="E279" s="5" t="s">
        <v>422</v>
      </c>
      <c r="L279" t="s">
        <v>833</v>
      </c>
      <c r="P279" s="5" t="str">
        <f>_xlfn.XLOOKUP("*" &amp; E279 &amp; "*",L:L,L:L, "Not Found in Ohio",2)</f>
        <v>Not Found in Ohio</v>
      </c>
      <c r="S279" t="str">
        <f t="shared" si="11"/>
        <v>Lasioglossumperpunctatum</v>
      </c>
    </row>
    <row r="280" spans="2:19" x14ac:dyDescent="0.35">
      <c r="B280" s="1" t="str">
        <f t="shared" si="12"/>
        <v>Lasioglossumrufulipes</v>
      </c>
      <c r="C280" s="1" t="s">
        <v>385</v>
      </c>
      <c r="D280" t="s">
        <v>386</v>
      </c>
      <c r="E280" s="5" t="s">
        <v>423</v>
      </c>
      <c r="L280" t="s">
        <v>834</v>
      </c>
      <c r="P280" s="5" t="str">
        <f>_xlfn.XLOOKUP("*" &amp; E280 &amp; "*",L:L,L:L, "Not Found in Ohio",2)</f>
        <v>Not Found in Ohio</v>
      </c>
      <c r="S280" t="str">
        <f t="shared" si="11"/>
        <v>Lasioglossumpilosum</v>
      </c>
    </row>
    <row r="281" spans="2:19" x14ac:dyDescent="0.35">
      <c r="B281" s="1" t="str">
        <f t="shared" si="12"/>
        <v>Lasioglossumsagax</v>
      </c>
      <c r="C281" s="1" t="s">
        <v>385</v>
      </c>
      <c r="D281" t="s">
        <v>386</v>
      </c>
      <c r="E281" s="5" t="s">
        <v>424</v>
      </c>
      <c r="L281" t="s">
        <v>835</v>
      </c>
      <c r="P281" s="5" t="str">
        <f>_xlfn.XLOOKUP("*" &amp; E281 &amp; "*",L:L,L:L, "Not Found in Ohio",2)</f>
        <v>Not Found in Ohio</v>
      </c>
      <c r="S281" t="str">
        <f t="shared" si="11"/>
        <v>Lasioglossumquebecense</v>
      </c>
    </row>
    <row r="282" spans="2:19" x14ac:dyDescent="0.35">
      <c r="B282" s="1" t="str">
        <f t="shared" si="12"/>
        <v>Lasioglossumsheffieldi</v>
      </c>
      <c r="C282" s="1" t="s">
        <v>385</v>
      </c>
      <c r="D282" t="s">
        <v>386</v>
      </c>
      <c r="E282" s="5" t="s">
        <v>425</v>
      </c>
      <c r="L282" t="s">
        <v>836</v>
      </c>
      <c r="P282" s="5" t="str">
        <f>_xlfn.XLOOKUP("*" &amp; E282 &amp; "*",L:L,L:L, "Not Found in Ohio",2)</f>
        <v>Not Found in Ohio</v>
      </c>
      <c r="Q282" s="3"/>
      <c r="R282" s="3"/>
      <c r="S282" t="str">
        <f t="shared" si="11"/>
        <v>Not Found in Michigan</v>
      </c>
    </row>
    <row r="283" spans="2:19" x14ac:dyDescent="0.35">
      <c r="B283" s="1" t="str">
        <f t="shared" si="12"/>
        <v>Lasioglossumsmilacinae</v>
      </c>
      <c r="C283" s="1" t="s">
        <v>385</v>
      </c>
      <c r="D283" t="s">
        <v>386</v>
      </c>
      <c r="E283" t="s">
        <v>426</v>
      </c>
      <c r="L283" t="s">
        <v>837</v>
      </c>
      <c r="P283" t="str">
        <f>_xlfn.XLOOKUP("*" &amp; E283 &amp; "*",L:L,L:L, "Not Found in Ohio",2)</f>
        <v>Lasioglossumsmilacinae</v>
      </c>
      <c r="Q283" s="3"/>
      <c r="R283" s="3"/>
      <c r="S283" t="str">
        <f t="shared" si="11"/>
        <v>Lasioglossumsmilacinae</v>
      </c>
    </row>
    <row r="284" spans="2:19" x14ac:dyDescent="0.35">
      <c r="B284" s="1" t="str">
        <f t="shared" si="12"/>
        <v>Lasioglossumsubversans</v>
      </c>
      <c r="C284" s="1" t="s">
        <v>385</v>
      </c>
      <c r="D284" t="s">
        <v>386</v>
      </c>
      <c r="E284" s="5" t="s">
        <v>427</v>
      </c>
      <c r="L284" t="s">
        <v>838</v>
      </c>
      <c r="P284" s="5" t="str">
        <f>_xlfn.XLOOKUP("*" &amp; E284 &amp; "*",L:L,L:L, "Not Found in Ohio",2)</f>
        <v>Not Found in Ohio</v>
      </c>
      <c r="Q284" s="3"/>
      <c r="R284" s="3"/>
      <c r="S284" t="str">
        <f t="shared" si="11"/>
        <v>Lasioglossumsubviridatum</v>
      </c>
    </row>
    <row r="285" spans="2:19" x14ac:dyDescent="0.35">
      <c r="B285" s="1" t="str">
        <f t="shared" si="12"/>
        <v>Lasioglossumsubviridatum</v>
      </c>
      <c r="C285" s="1" t="s">
        <v>385</v>
      </c>
      <c r="D285" t="s">
        <v>386</v>
      </c>
      <c r="E285" t="s">
        <v>428</v>
      </c>
      <c r="L285" t="s">
        <v>839</v>
      </c>
      <c r="P285" t="str">
        <f>_xlfn.XLOOKUP("*" &amp; E285 &amp; "*",L:L,L:L, "Not Found in Ohio",2)</f>
        <v>Lasioglossumsubviridatum</v>
      </c>
      <c r="Q285" s="3"/>
      <c r="R285" s="3"/>
      <c r="S285" t="str">
        <f t="shared" si="11"/>
        <v>Lasioglossumtegulare</v>
      </c>
    </row>
    <row r="286" spans="2:19" x14ac:dyDescent="0.35">
      <c r="B286" s="1" t="str">
        <f t="shared" si="12"/>
        <v>Lasioglossumtaylorae</v>
      </c>
      <c r="C286" s="1" t="s">
        <v>385</v>
      </c>
      <c r="D286" t="s">
        <v>386</v>
      </c>
      <c r="E286" t="s">
        <v>429</v>
      </c>
      <c r="L286" t="s">
        <v>840</v>
      </c>
      <c r="P286" s="5" t="str">
        <f>_xlfn.XLOOKUP("*" &amp; E286 &amp; "*",L:L,L:L, "Not Found in Ohio",2)</f>
        <v>Not Found in Ohio</v>
      </c>
      <c r="Q286" s="3"/>
      <c r="R286" s="3"/>
      <c r="S286" t="str">
        <f t="shared" si="11"/>
        <v>Lasioglossumtruncatum</v>
      </c>
    </row>
    <row r="287" spans="2:19" x14ac:dyDescent="0.35">
      <c r="B287" s="1" t="str">
        <f t="shared" si="12"/>
        <v>Lasioglossumtegulare</v>
      </c>
      <c r="C287" s="1" t="s">
        <v>385</v>
      </c>
      <c r="D287" t="s">
        <v>386</v>
      </c>
      <c r="E287" t="s">
        <v>430</v>
      </c>
      <c r="L287" t="s">
        <v>841</v>
      </c>
      <c r="P287" t="str">
        <f>_xlfn.XLOOKUP("*" &amp; E287 &amp; "*",L:L,L:L, "Not Found in Ohio",2)</f>
        <v>Lasioglossumtegulare</v>
      </c>
      <c r="S287" t="str">
        <f t="shared" si="11"/>
        <v>Lasioglossumversans</v>
      </c>
    </row>
    <row r="288" spans="2:19" x14ac:dyDescent="0.35">
      <c r="B288" s="1" t="str">
        <f t="shared" si="12"/>
        <v>Lasioglossumtenax</v>
      </c>
      <c r="C288" s="1" t="s">
        <v>385</v>
      </c>
      <c r="D288" t="s">
        <v>386</v>
      </c>
      <c r="E288" s="5" t="s">
        <v>431</v>
      </c>
      <c r="L288" t="s">
        <v>842</v>
      </c>
      <c r="P288" s="5" t="str">
        <f>_xlfn.XLOOKUP("*" &amp; E288 &amp; "*",L:L,L:L, "Not Found in Ohio",2)</f>
        <v>Not Found in Ohio</v>
      </c>
      <c r="S288" t="str">
        <f t="shared" si="11"/>
        <v>Lasioglossumversatum</v>
      </c>
    </row>
    <row r="289" spans="2:19" x14ac:dyDescent="0.35">
      <c r="B289" s="1" t="str">
        <f t="shared" si="12"/>
        <v>Lasioglossumtimothyi</v>
      </c>
      <c r="C289" s="1" t="s">
        <v>385</v>
      </c>
      <c r="D289" t="s">
        <v>386</v>
      </c>
      <c r="E289" s="5" t="s">
        <v>432</v>
      </c>
      <c r="L289" t="s">
        <v>843</v>
      </c>
      <c r="P289" s="5" t="str">
        <f>_xlfn.XLOOKUP("*" &amp; E289 &amp; "*",L:L,L:L, "Not Found in Ohio",2)</f>
        <v>Not Found in Ohio</v>
      </c>
      <c r="S289" t="str">
        <f t="shared" si="11"/>
        <v>Lasioglossumvierecki</v>
      </c>
    </row>
    <row r="290" spans="2:19" x14ac:dyDescent="0.35">
      <c r="B290" s="1" t="str">
        <f t="shared" si="12"/>
        <v>Lasioglossumtrigeminum</v>
      </c>
      <c r="C290" s="1" t="s">
        <v>385</v>
      </c>
      <c r="D290" t="s">
        <v>386</v>
      </c>
      <c r="E290" s="5" t="s">
        <v>433</v>
      </c>
      <c r="L290" t="s">
        <v>844</v>
      </c>
      <c r="P290" s="5" t="str">
        <f>_xlfn.XLOOKUP("*" &amp; E290 &amp; "*",L:L,L:L, "Not Found in Ohio",2)</f>
        <v>Not Found in Ohio</v>
      </c>
      <c r="Q290" s="3"/>
      <c r="R290" s="3"/>
      <c r="S290" t="str">
        <f t="shared" si="11"/>
        <v>Lasioglossumviridatum</v>
      </c>
    </row>
    <row r="291" spans="2:19" x14ac:dyDescent="0.35">
      <c r="B291" s="1" t="str">
        <f t="shared" si="12"/>
        <v>Lasioglossumversans</v>
      </c>
      <c r="C291" s="1" t="s">
        <v>385</v>
      </c>
      <c r="D291" t="s">
        <v>386</v>
      </c>
      <c r="E291" t="s">
        <v>434</v>
      </c>
      <c r="L291" t="s">
        <v>845</v>
      </c>
      <c r="P291" t="str">
        <f>_xlfn.XLOOKUP("*" &amp; E291 &amp; "*",L:L,L:L, "Not Found in Ohio",2)</f>
        <v>Lasioglossumversans</v>
      </c>
      <c r="Q291" s="3"/>
      <c r="R291" s="3"/>
      <c r="S291" t="str">
        <f t="shared" si="11"/>
        <v>Lasioglossumweemsi</v>
      </c>
    </row>
    <row r="292" spans="2:19" x14ac:dyDescent="0.35">
      <c r="B292" s="1" t="str">
        <f t="shared" si="12"/>
        <v>Lasioglossumversatum</v>
      </c>
      <c r="C292" s="1" t="s">
        <v>385</v>
      </c>
      <c r="D292" t="s">
        <v>386</v>
      </c>
      <c r="E292" t="s">
        <v>435</v>
      </c>
      <c r="L292" t="s">
        <v>846</v>
      </c>
      <c r="P292" t="str">
        <f>_xlfn.XLOOKUP("*" &amp; E292 &amp; "*",L:L,L:L, "Not Found in Ohio",2)</f>
        <v>Lasioglossumversatum</v>
      </c>
      <c r="Q292" s="3"/>
      <c r="R292" s="3"/>
      <c r="S292" t="str">
        <f t="shared" si="11"/>
        <v>Lasioglossumzephyrus</v>
      </c>
    </row>
    <row r="293" spans="2:19" x14ac:dyDescent="0.35">
      <c r="B293" s="1" t="str">
        <f t="shared" si="12"/>
        <v>Lasioglossumvierecki</v>
      </c>
      <c r="C293" s="1" t="s">
        <v>385</v>
      </c>
      <c r="D293" t="s">
        <v>386</v>
      </c>
      <c r="E293" t="s">
        <v>436</v>
      </c>
      <c r="L293" t="s">
        <v>847</v>
      </c>
      <c r="P293" t="str">
        <f>_xlfn.XLOOKUP("*" &amp; E293 &amp; "*",L:L,L:L, "Not Found in Ohio",2)</f>
        <v>Lasioglossumvierecki</v>
      </c>
      <c r="Q293" s="3"/>
      <c r="R293" s="3"/>
      <c r="S293" t="str">
        <f t="shared" si="11"/>
        <v>Lasioglossumzonulum</v>
      </c>
    </row>
    <row r="294" spans="2:19" x14ac:dyDescent="0.35">
      <c r="B294" s="1" t="str">
        <f t="shared" si="12"/>
        <v>Lasioglossumviridatum</v>
      </c>
      <c r="C294" s="1" t="s">
        <v>385</v>
      </c>
      <c r="D294" t="s">
        <v>386</v>
      </c>
      <c r="E294" t="s">
        <v>437</v>
      </c>
      <c r="L294" t="s">
        <v>844</v>
      </c>
      <c r="P294" t="str">
        <f>_xlfn.XLOOKUP("*" &amp; E294 &amp; "*",L:L,L:L, "Not Found in Ohio",2)</f>
        <v>Lasioglossumsubviridatum</v>
      </c>
      <c r="Q294" s="3"/>
      <c r="R294" s="3"/>
      <c r="S294" t="str">
        <f t="shared" si="11"/>
        <v>Lasioglossumviridatum</v>
      </c>
    </row>
    <row r="295" spans="2:19" x14ac:dyDescent="0.35">
      <c r="B295" s="1" t="str">
        <f t="shared" si="12"/>
        <v>Lasioglossumweemsi</v>
      </c>
      <c r="C295" s="1" t="s">
        <v>385</v>
      </c>
      <c r="D295" t="s">
        <v>386</v>
      </c>
      <c r="E295" t="s">
        <v>438</v>
      </c>
      <c r="L295" t="s">
        <v>845</v>
      </c>
      <c r="P295" t="str">
        <f>_xlfn.XLOOKUP("*" &amp; E295 &amp; "*",L:L,L:L, "Not Found in Ohio",2)</f>
        <v>Lasioglossumweemsi</v>
      </c>
      <c r="S295" t="str">
        <f t="shared" si="11"/>
        <v>Lasioglossumweemsi</v>
      </c>
    </row>
    <row r="296" spans="2:19" x14ac:dyDescent="0.35">
      <c r="B296" s="1" t="str">
        <f t="shared" si="12"/>
        <v>Lasioglossumzephyrus</v>
      </c>
      <c r="C296" s="1" t="s">
        <v>385</v>
      </c>
      <c r="D296" t="s">
        <v>386</v>
      </c>
      <c r="E296" t="s">
        <v>993</v>
      </c>
      <c r="H296" t="s">
        <v>980</v>
      </c>
      <c r="L296" t="s">
        <v>846</v>
      </c>
      <c r="P296" t="str">
        <f>_xlfn.XLOOKUP("*" &amp; E296 &amp; "*",L:L,L:L, "Not Found in Ohio",2)</f>
        <v>Lasioglossumzephyrus</v>
      </c>
      <c r="S296" t="str">
        <f t="shared" si="11"/>
        <v>Lasioglossumzephyrus</v>
      </c>
    </row>
    <row r="297" spans="2:19" x14ac:dyDescent="0.35">
      <c r="B297" s="1" t="str">
        <f t="shared" si="12"/>
        <v>Lasioglossumcinctipes</v>
      </c>
      <c r="C297" s="1" t="s">
        <v>385</v>
      </c>
      <c r="D297" t="s">
        <v>439</v>
      </c>
      <c r="E297" t="s">
        <v>440</v>
      </c>
      <c r="L297" t="s">
        <v>801</v>
      </c>
      <c r="P297" t="str">
        <f>_xlfn.XLOOKUP("*" &amp; E297 &amp; "*",L:L,L:L, "Not Found in Ohio",2)</f>
        <v>Lasioglossumcinctipes</v>
      </c>
      <c r="S297" t="str">
        <f t="shared" si="11"/>
        <v>Lasioglossumcinctipes</v>
      </c>
    </row>
    <row r="298" spans="2:19" x14ac:dyDescent="0.35">
      <c r="B298" s="1" t="str">
        <f t="shared" si="12"/>
        <v>Lasioglossumbirkmanni</v>
      </c>
      <c r="C298" s="1" t="s">
        <v>385</v>
      </c>
      <c r="D298" t="s">
        <v>441</v>
      </c>
      <c r="E298" t="s">
        <v>442</v>
      </c>
      <c r="L298" t="s">
        <v>797</v>
      </c>
      <c r="P298" t="str">
        <f>_xlfn.XLOOKUP("*" &amp; E298 &amp; "*",L:L,L:L, "Not Found in Ohio",2)</f>
        <v>Lasioglossumbirkmanni</v>
      </c>
      <c r="Q298" s="3"/>
      <c r="R298" s="3"/>
      <c r="S298" t="str">
        <f t="shared" si="11"/>
        <v>Lasioglossumbirkmanni</v>
      </c>
    </row>
    <row r="299" spans="2:19" x14ac:dyDescent="0.35">
      <c r="B299" s="1" t="str">
        <f t="shared" si="12"/>
        <v>Lasioglossumfedorense</v>
      </c>
      <c r="C299" s="1" t="s">
        <v>385</v>
      </c>
      <c r="D299" t="s">
        <v>441</v>
      </c>
      <c r="E299" s="5" t="s">
        <v>443</v>
      </c>
      <c r="P299" s="5" t="str">
        <f>_xlfn.XLOOKUP("*" &amp; E299 &amp; "*",L:L,L:L, "Not Found in Ohio",2)</f>
        <v>Not Found in Ohio</v>
      </c>
      <c r="Q299" s="3"/>
      <c r="R299" s="3"/>
      <c r="S299" t="str">
        <f t="shared" si="11"/>
        <v>Genus and species</v>
      </c>
    </row>
    <row r="300" spans="2:19" x14ac:dyDescent="0.35">
      <c r="B300" s="1" t="str">
        <f t="shared" si="12"/>
        <v>Lasioglossumfoxii</v>
      </c>
      <c r="C300" s="1" t="s">
        <v>385</v>
      </c>
      <c r="D300" t="s">
        <v>441</v>
      </c>
      <c r="E300" t="s">
        <v>444</v>
      </c>
      <c r="L300" t="s">
        <v>809</v>
      </c>
      <c r="P300" t="str">
        <f>_xlfn.XLOOKUP("*" &amp; E300 &amp; "*",L:L,L:L, "Not Found in Ohio",2)</f>
        <v>Lasioglossumfoxii</v>
      </c>
      <c r="Q300" s="3"/>
      <c r="R300" s="3"/>
      <c r="S300" t="str">
        <f t="shared" si="11"/>
        <v>Lasioglossumfoxii</v>
      </c>
    </row>
    <row r="301" spans="2:19" x14ac:dyDescent="0.35">
      <c r="B301" s="1" t="str">
        <f t="shared" si="12"/>
        <v>Lasioglossuminconditum</v>
      </c>
      <c r="C301" s="1" t="s">
        <v>385</v>
      </c>
      <c r="D301" t="s">
        <v>441</v>
      </c>
      <c r="E301" s="5" t="s">
        <v>445</v>
      </c>
      <c r="P301" s="5" t="str">
        <f>_xlfn.XLOOKUP("*" &amp; E301 &amp; "*",L:L,L:L, "Not Found in Ohio",2)</f>
        <v>Not Found in Ohio</v>
      </c>
      <c r="Q301" s="3"/>
      <c r="R301" s="3"/>
      <c r="S301" t="str">
        <f t="shared" si="11"/>
        <v>Genus and species</v>
      </c>
    </row>
    <row r="302" spans="2:19" x14ac:dyDescent="0.35">
      <c r="B302" s="1" t="str">
        <f t="shared" si="12"/>
        <v>Lasioglossumlustrans</v>
      </c>
      <c r="C302" s="1" t="s">
        <v>385</v>
      </c>
      <c r="D302" t="s">
        <v>441</v>
      </c>
      <c r="E302" t="s">
        <v>446</v>
      </c>
      <c r="L302" t="s">
        <v>821</v>
      </c>
      <c r="P302" t="str">
        <f>_xlfn.XLOOKUP("*" &amp; E302 &amp; "*",L:L,L:L, "Not Found in Ohio",2)</f>
        <v>Lasioglossumlustrans</v>
      </c>
      <c r="Q302" s="3"/>
      <c r="R302" s="3"/>
      <c r="S302" t="str">
        <f t="shared" si="11"/>
        <v>Lasioglossumlustrans</v>
      </c>
    </row>
    <row r="303" spans="2:19" x14ac:dyDescent="0.35">
      <c r="B303" s="1" t="str">
        <f t="shared" si="12"/>
        <v>Lasioglossummacoupinense</v>
      </c>
      <c r="C303" s="1" t="s">
        <v>385</v>
      </c>
      <c r="D303" t="s">
        <v>441</v>
      </c>
      <c r="E303" t="s">
        <v>447</v>
      </c>
      <c r="L303" t="s">
        <v>822</v>
      </c>
      <c r="P303" t="str">
        <f>_xlfn.XLOOKUP("*" &amp; E303 &amp; "*",L:L,L:L, "Not Found in Ohio",2)</f>
        <v>Lasioglossummacoupinense</v>
      </c>
      <c r="S303" t="str">
        <f t="shared" si="11"/>
        <v>Lasioglossummacoupinense</v>
      </c>
    </row>
    <row r="304" spans="2:19" x14ac:dyDescent="0.35">
      <c r="B304" s="1" t="str">
        <f t="shared" si="12"/>
        <v>Lasioglossumnelumbonis</v>
      </c>
      <c r="C304" s="1" t="s">
        <v>385</v>
      </c>
      <c r="D304" t="s">
        <v>441</v>
      </c>
      <c r="E304" t="s">
        <v>358</v>
      </c>
      <c r="L304" t="s">
        <v>824</v>
      </c>
      <c r="P304" t="str">
        <f>_xlfn.XLOOKUP("*" &amp; E304 &amp; "*",L:L,L:L, "Not Found in Ohio",2)</f>
        <v>Hylaeusnelumbonis</v>
      </c>
      <c r="S304" t="str">
        <f t="shared" si="11"/>
        <v>Lasioglossumnelumbonis</v>
      </c>
    </row>
    <row r="305" spans="2:19" x14ac:dyDescent="0.35">
      <c r="B305" s="1" t="str">
        <f t="shared" si="12"/>
        <v>Lasioglossumpectorale</v>
      </c>
      <c r="C305" s="1" t="s">
        <v>385</v>
      </c>
      <c r="D305" t="s">
        <v>441</v>
      </c>
      <c r="E305" t="s">
        <v>448</v>
      </c>
      <c r="L305" t="s">
        <v>832</v>
      </c>
      <c r="P305" t="str">
        <f>_xlfn.XLOOKUP("*" &amp; E305 &amp; "*",L:L,L:L, "Not Found in Ohio",2)</f>
        <v>Lasioglossumpectorale</v>
      </c>
      <c r="S305" t="str">
        <f t="shared" si="11"/>
        <v>Lasioglossumpectorale</v>
      </c>
    </row>
    <row r="306" spans="2:19" x14ac:dyDescent="0.35">
      <c r="B306" s="1" t="str">
        <f t="shared" si="12"/>
        <v>Lasioglossumswenki</v>
      </c>
      <c r="C306" s="1" t="s">
        <v>385</v>
      </c>
      <c r="D306" t="s">
        <v>441</v>
      </c>
      <c r="E306" s="5" t="s">
        <v>113</v>
      </c>
      <c r="P306" s="5" t="str">
        <f>_xlfn.XLOOKUP("*" &amp; E306 &amp; "*",L:L,L:L, "Not Found in Ohio",2)</f>
        <v>Not Found in Ohio</v>
      </c>
      <c r="Q306" s="3"/>
      <c r="R306" s="3"/>
      <c r="S306" t="str">
        <f t="shared" si="11"/>
        <v>Genus and species</v>
      </c>
    </row>
    <row r="307" spans="2:19" x14ac:dyDescent="0.35">
      <c r="B307" s="1" t="str">
        <f t="shared" si="12"/>
        <v>Lasioglossumacuminatum</v>
      </c>
      <c r="C307" s="1" t="s">
        <v>385</v>
      </c>
      <c r="D307" t="s">
        <v>449</v>
      </c>
      <c r="E307" s="5" t="s">
        <v>450</v>
      </c>
      <c r="P307" s="5" t="str">
        <f>_xlfn.XLOOKUP("*" &amp; E307 &amp; "*",L:L,L:L, "Not Found in Ohio",2)</f>
        <v>Not Found in Ohio</v>
      </c>
      <c r="Q307" s="3"/>
      <c r="R307" s="3"/>
      <c r="S307" t="str">
        <f t="shared" si="11"/>
        <v>Genus and species</v>
      </c>
    </row>
    <row r="308" spans="2:19" x14ac:dyDescent="0.35">
      <c r="B308" s="1" t="str">
        <f t="shared" si="12"/>
        <v>Lasioglossumathabascense</v>
      </c>
      <c r="C308" s="2" t="s">
        <v>385</v>
      </c>
      <c r="D308" t="s">
        <v>449</v>
      </c>
      <c r="E308" t="s">
        <v>451</v>
      </c>
      <c r="L308" t="s">
        <v>796</v>
      </c>
      <c r="P308" t="str">
        <f>_xlfn.XLOOKUP("*" &amp; E308 &amp; "*",L:L,L:L, "Not Found in Ohio",2)</f>
        <v>Lasioglossumathabascense</v>
      </c>
      <c r="Q308" s="3"/>
      <c r="R308" s="3"/>
      <c r="S308" t="str">
        <f t="shared" si="11"/>
        <v>Lasioglossumathabascense</v>
      </c>
    </row>
    <row r="309" spans="2:19" x14ac:dyDescent="0.35">
      <c r="B309" s="1" t="str">
        <f t="shared" si="12"/>
        <v>Lasioglossumcoriaceum</v>
      </c>
      <c r="C309" s="1" t="s">
        <v>385</v>
      </c>
      <c r="D309" t="s">
        <v>449</v>
      </c>
      <c r="E309" t="s">
        <v>452</v>
      </c>
      <c r="L309" t="s">
        <v>804</v>
      </c>
      <c r="P309" t="str">
        <f>_xlfn.XLOOKUP("*" &amp; E309 &amp; "*",L:L,L:L, "Not Found in Ohio",2)</f>
        <v>Lasioglossumcoriaceum</v>
      </c>
      <c r="Q309" s="3"/>
      <c r="R309" s="3"/>
      <c r="S309" t="str">
        <f t="shared" si="11"/>
        <v>Lasioglossumcoriaceum</v>
      </c>
    </row>
    <row r="310" spans="2:19" x14ac:dyDescent="0.35">
      <c r="B310" s="1" t="str">
        <f t="shared" si="12"/>
        <v>Lasioglossumforbesii</v>
      </c>
      <c r="C310" s="1" t="s">
        <v>385</v>
      </c>
      <c r="D310" t="s">
        <v>449</v>
      </c>
      <c r="E310" t="s">
        <v>187</v>
      </c>
      <c r="L310" t="s">
        <v>808</v>
      </c>
      <c r="P310" t="str">
        <f>_xlfn.XLOOKUP("*" &amp; E310 &amp; "*",L:L,L:L, "Not Found in Ohio",2)</f>
        <v>Andrenaforbesii</v>
      </c>
      <c r="Q310" s="3"/>
      <c r="R310" s="3"/>
      <c r="S310" t="str">
        <f t="shared" si="11"/>
        <v>Lasioglossumforbesii</v>
      </c>
    </row>
    <row r="311" spans="2:19" x14ac:dyDescent="0.35">
      <c r="B311" s="1" t="str">
        <f t="shared" si="12"/>
        <v>Lasioglossumfuscipenne</v>
      </c>
      <c r="C311" s="1" t="s">
        <v>385</v>
      </c>
      <c r="D311" t="s">
        <v>449</v>
      </c>
      <c r="E311" t="s">
        <v>453</v>
      </c>
      <c r="L311" t="s">
        <v>810</v>
      </c>
      <c r="P311" t="str">
        <f>_xlfn.XLOOKUP("*" &amp; E311 &amp; "*",L:L,L:L, "Not Found in Ohio",2)</f>
        <v>Lasioglossumfuscipenne</v>
      </c>
      <c r="S311" t="str">
        <f t="shared" si="11"/>
        <v>Lasioglossumfuscipenne</v>
      </c>
    </row>
    <row r="312" spans="2:19" x14ac:dyDescent="0.35">
      <c r="B312" s="1" t="str">
        <f t="shared" si="12"/>
        <v>Lasioglossumparaforbesii</v>
      </c>
      <c r="C312" s="1" t="s">
        <v>385</v>
      </c>
      <c r="D312" t="s">
        <v>449</v>
      </c>
      <c r="E312" t="s">
        <v>454</v>
      </c>
      <c r="L312" t="s">
        <v>830</v>
      </c>
      <c r="P312" t="str">
        <f>_xlfn.XLOOKUP("*" &amp; E312 &amp; "*",L:L,L:L, "Not Found in Ohio",2)</f>
        <v>Lasioglossumparaforbesii</v>
      </c>
      <c r="S312" t="str">
        <f t="shared" si="11"/>
        <v>Lasioglossumparaforbesii</v>
      </c>
    </row>
    <row r="313" spans="2:19" s="3" customFormat="1" x14ac:dyDescent="0.35">
      <c r="B313" s="1" t="str">
        <f t="shared" si="12"/>
        <v>Lasioglossumleucozonium</v>
      </c>
      <c r="C313" s="4" t="s">
        <v>385</v>
      </c>
      <c r="D313" s="3" t="s">
        <v>455</v>
      </c>
      <c r="E313" s="3" t="s">
        <v>456</v>
      </c>
      <c r="L313" s="3" t="s">
        <v>818</v>
      </c>
      <c r="P313" t="str">
        <f>_xlfn.XLOOKUP("*" &amp; E313 &amp; "*",L:L,L:L, "Not Found in Ohio",2)</f>
        <v>Lasioglossumleucozonium</v>
      </c>
      <c r="Q313"/>
      <c r="R313"/>
      <c r="S313" t="str">
        <f t="shared" si="11"/>
        <v>Lasioglossumleucozonium</v>
      </c>
    </row>
    <row r="314" spans="2:19" x14ac:dyDescent="0.35">
      <c r="B314" s="1" t="str">
        <f t="shared" si="12"/>
        <v>Lasioglossumzonulum</v>
      </c>
      <c r="C314" s="1" t="s">
        <v>385</v>
      </c>
      <c r="D314" t="s">
        <v>455</v>
      </c>
      <c r="E314" t="s">
        <v>457</v>
      </c>
      <c r="L314" t="s">
        <v>847</v>
      </c>
      <c r="P314" t="str">
        <f>_xlfn.XLOOKUP("*" &amp; E314 &amp; "*",L:L,L:L, "Not Found in Ohio",2)</f>
        <v>Lasioglossumzonulum</v>
      </c>
      <c r="Q314" s="3"/>
      <c r="R314" s="3"/>
      <c r="S314" t="str">
        <f t="shared" si="11"/>
        <v>Lasioglossumzonulum</v>
      </c>
    </row>
    <row r="315" spans="2:19" x14ac:dyDescent="0.35">
      <c r="B315" s="1" t="str">
        <f t="shared" si="12"/>
        <v>Lasioglossumcomagenense</v>
      </c>
      <c r="C315" s="1" t="s">
        <v>385</v>
      </c>
      <c r="D315" t="s">
        <v>458</v>
      </c>
      <c r="E315" s="5" t="s">
        <v>459</v>
      </c>
      <c r="P315" s="5" t="str">
        <f>_xlfn.XLOOKUP("*" &amp; E315 &amp; "*",L:L,L:L, "Not Found in Ohio",2)</f>
        <v>Not Found in Ohio</v>
      </c>
      <c r="Q315" s="3"/>
      <c r="R315" s="3"/>
      <c r="S315" t="str">
        <f t="shared" si="11"/>
        <v>Genus and species</v>
      </c>
    </row>
    <row r="316" spans="2:19" x14ac:dyDescent="0.35">
      <c r="B316" s="1" t="str">
        <f t="shared" si="12"/>
        <v>Lasioglossumoenotherae</v>
      </c>
      <c r="C316" s="1" t="s">
        <v>385</v>
      </c>
      <c r="D316" t="s">
        <v>458</v>
      </c>
      <c r="E316" s="5" t="s">
        <v>460</v>
      </c>
      <c r="P316" s="5" t="str">
        <f>_xlfn.XLOOKUP("*" &amp; E316 &amp; "*",L:L,L:L, "Not Found in Ohio",2)</f>
        <v>Not Found in Ohio</v>
      </c>
      <c r="Q316" s="3"/>
      <c r="R316" s="3"/>
      <c r="S316" t="str">
        <f t="shared" si="11"/>
        <v>Genus and species</v>
      </c>
    </row>
    <row r="317" spans="2:19" x14ac:dyDescent="0.35">
      <c r="B317" s="1" t="str">
        <f t="shared" si="12"/>
        <v>Lasioglossumquebecense</v>
      </c>
      <c r="C317" s="1" t="s">
        <v>385</v>
      </c>
      <c r="D317" t="s">
        <v>458</v>
      </c>
      <c r="E317" t="s">
        <v>461</v>
      </c>
      <c r="L317" t="s">
        <v>835</v>
      </c>
      <c r="P317" t="str">
        <f>_xlfn.XLOOKUP("*" &amp; E317 &amp; "*",L:L,L:L, "Not Found in Ohio",2)</f>
        <v>Lasioglossumquebecense</v>
      </c>
      <c r="Q317" s="3"/>
      <c r="R317" s="3"/>
      <c r="S317" t="str">
        <f t="shared" si="11"/>
        <v>Lasioglossumquebecense</v>
      </c>
    </row>
    <row r="318" spans="2:19" x14ac:dyDescent="0.35">
      <c r="B318" s="1" t="str">
        <f t="shared" si="12"/>
        <v>Lasioglossumseillean</v>
      </c>
      <c r="C318" s="1" t="s">
        <v>385</v>
      </c>
      <c r="D318" t="s">
        <v>458</v>
      </c>
      <c r="E318" s="5" t="s">
        <v>462</v>
      </c>
      <c r="P318" s="5" t="str">
        <f>_xlfn.XLOOKUP("*" &amp; E318 &amp; "*",L:L,L:L, "Not Found in Ohio",2)</f>
        <v>Not Found in Ohio</v>
      </c>
      <c r="Q318" s="3"/>
      <c r="R318" s="3"/>
      <c r="S318" t="str">
        <f t="shared" si="11"/>
        <v>Genus and species</v>
      </c>
    </row>
    <row r="319" spans="2:19" x14ac:dyDescent="0.35">
      <c r="B319" s="1" t="str">
        <f t="shared" si="12"/>
        <v>Lasioglossumtexanum</v>
      </c>
      <c r="C319" s="1" t="s">
        <v>385</v>
      </c>
      <c r="D319" t="s">
        <v>458</v>
      </c>
      <c r="E319" s="5" t="s">
        <v>463</v>
      </c>
      <c r="P319" s="5" t="str">
        <f>_xlfn.XLOOKUP("*" &amp; E319 &amp; "*",L:L,L:L, "Not Found in Ohio",2)</f>
        <v>Not Found in Ohio</v>
      </c>
      <c r="S319" t="str">
        <f t="shared" si="11"/>
        <v>Genus and species</v>
      </c>
    </row>
    <row r="320" spans="2:19" x14ac:dyDescent="0.35">
      <c r="B320" s="1" t="str">
        <f t="shared" si="12"/>
        <v>Lasioglossumtruncatum</v>
      </c>
      <c r="C320" s="1" t="s">
        <v>385</v>
      </c>
      <c r="D320" t="s">
        <v>458</v>
      </c>
      <c r="E320" t="s">
        <v>464</v>
      </c>
      <c r="L320" t="s">
        <v>840</v>
      </c>
      <c r="P320" t="str">
        <f>_xlfn.XLOOKUP("*" &amp; E320 &amp; "*",L:L,L:L, "Not Found in Ohio",2)</f>
        <v>Lasioglossumtruncatum</v>
      </c>
      <c r="S320" t="str">
        <f t="shared" si="11"/>
        <v>Lasioglossumtruncatum</v>
      </c>
    </row>
    <row r="321" spans="1:19" x14ac:dyDescent="0.35">
      <c r="B321" s="1" t="str">
        <f t="shared" si="12"/>
        <v/>
      </c>
      <c r="L321" s="5" t="s">
        <v>795</v>
      </c>
      <c r="P321" t="str">
        <f>_xlfn.XLOOKUP("*" &amp; E321 &amp; "*",L:L,L:L, "Not Found in Ohio",2)</f>
        <v>Ohio Regional Species pool</v>
      </c>
      <c r="S321" t="str">
        <f t="shared" si="11"/>
        <v>Not Found in Michigan</v>
      </c>
    </row>
    <row r="322" spans="1:19" x14ac:dyDescent="0.35">
      <c r="B322" s="1" t="str">
        <f t="shared" si="12"/>
        <v/>
      </c>
      <c r="L322" s="5" t="s">
        <v>831</v>
      </c>
      <c r="P322" t="str">
        <f>_xlfn.XLOOKUP("*" &amp; E322 &amp; "*",L:L,L:L, "Not Found in Ohio",2)</f>
        <v>Ohio Regional Species pool</v>
      </c>
      <c r="Q322" s="3"/>
      <c r="R322" s="3"/>
      <c r="S322" t="str">
        <f t="shared" si="11"/>
        <v>Not Found in Michigan</v>
      </c>
    </row>
    <row r="323" spans="1:19" x14ac:dyDescent="0.35">
      <c r="B323" s="1" t="str">
        <f t="shared" si="12"/>
        <v/>
      </c>
      <c r="L323" s="5" t="s">
        <v>836</v>
      </c>
      <c r="P323" t="str">
        <f>_xlfn.XLOOKUP("*" &amp; E323 &amp; "*",L:L,L:L, "Not Found in Ohio",2)</f>
        <v>Ohio Regional Species pool</v>
      </c>
      <c r="Q323" s="3"/>
      <c r="R323" s="3"/>
      <c r="S323" t="str">
        <f t="shared" ref="S323:S386" si="13">_xlfn.XLOOKUP("*"&amp;L323&amp;"*",B:B,B:B,"Not Found in Michigan",2)</f>
        <v>Not Found in Michigan</v>
      </c>
    </row>
    <row r="324" spans="1:19" x14ac:dyDescent="0.35">
      <c r="A324" t="s">
        <v>24</v>
      </c>
      <c r="B324" s="1" t="str">
        <f t="shared" si="12"/>
        <v>Macropisnuda</v>
      </c>
      <c r="C324" t="s">
        <v>615</v>
      </c>
      <c r="D324" t="s">
        <v>616</v>
      </c>
      <c r="E324" t="s">
        <v>192</v>
      </c>
      <c r="L324" t="s">
        <v>848</v>
      </c>
      <c r="P324" t="str">
        <f>_xlfn.XLOOKUP("*" &amp; E324 &amp; "*",L:L,L:L, "Not Found in Ohio",2)</f>
        <v>Andrenanuda</v>
      </c>
      <c r="Q324" s="3"/>
      <c r="R324" s="3"/>
      <c r="S324" t="str">
        <f t="shared" si="13"/>
        <v>Not Found in Michigan</v>
      </c>
    </row>
    <row r="325" spans="1:19" x14ac:dyDescent="0.35">
      <c r="B325" s="1" t="str">
        <f t="shared" si="12"/>
        <v>Megachilealbitarsis</v>
      </c>
      <c r="C325" t="s">
        <v>532</v>
      </c>
      <c r="D325" t="s">
        <v>533</v>
      </c>
      <c r="E325" t="s">
        <v>119</v>
      </c>
      <c r="L325" t="s">
        <v>849</v>
      </c>
      <c r="P325" t="str">
        <f>_xlfn.XLOOKUP("*" &amp; E325 &amp; "*",L:L,L:L, "Not Found in Ohio",2)</f>
        <v>Not Found in Ohio</v>
      </c>
      <c r="Q325" s="3"/>
      <c r="R325" s="3"/>
      <c r="S325" t="str">
        <f t="shared" si="13"/>
        <v>Megachileaddenda</v>
      </c>
    </row>
    <row r="326" spans="1:19" x14ac:dyDescent="0.35">
      <c r="B326" s="1" t="str">
        <f t="shared" si="12"/>
        <v>Megachilesculpturalis</v>
      </c>
      <c r="C326" t="s">
        <v>532</v>
      </c>
      <c r="D326" t="s">
        <v>534</v>
      </c>
      <c r="E326" t="s">
        <v>535</v>
      </c>
      <c r="L326" t="s">
        <v>850</v>
      </c>
      <c r="P326" t="str">
        <f>_xlfn.XLOOKUP("*" &amp; E326 &amp; "*",L:L,L:L, "Not Found in Ohio",2)</f>
        <v>Megachilesculpturalis</v>
      </c>
      <c r="Q326" s="3"/>
      <c r="R326" s="3"/>
      <c r="S326" t="str">
        <f t="shared" si="13"/>
        <v>Megachileapicalis</v>
      </c>
    </row>
    <row r="327" spans="1:19" x14ac:dyDescent="0.35">
      <c r="B327" s="1" t="str">
        <f t="shared" si="12"/>
        <v>Megachilecampanulae</v>
      </c>
      <c r="C327" t="s">
        <v>532</v>
      </c>
      <c r="D327" t="s">
        <v>536</v>
      </c>
      <c r="E327" t="s">
        <v>537</v>
      </c>
      <c r="L327" t="s">
        <v>851</v>
      </c>
      <c r="P327" t="str">
        <f>_xlfn.XLOOKUP("*" &amp; E327 &amp; "*",L:L,L:L, "Not Found in Ohio",2)</f>
        <v>Megachilecampanulae</v>
      </c>
      <c r="Q327" s="3"/>
      <c r="R327" s="3"/>
      <c r="S327" t="str">
        <f t="shared" si="13"/>
        <v>Megachilebrevis</v>
      </c>
    </row>
    <row r="328" spans="1:19" x14ac:dyDescent="0.35">
      <c r="B328" s="1" t="str">
        <f t="shared" si="12"/>
        <v>Megachilerugifrons</v>
      </c>
      <c r="C328" t="s">
        <v>532</v>
      </c>
      <c r="D328" t="s">
        <v>536</v>
      </c>
      <c r="E328" t="s">
        <v>538</v>
      </c>
      <c r="L328" t="s">
        <v>852</v>
      </c>
      <c r="P328" t="str">
        <f>_xlfn.XLOOKUP("*" &amp; E328 &amp; "*",L:L,L:L, "Not Found in Ohio",2)</f>
        <v>Megachilerugifrons</v>
      </c>
      <c r="Q328" s="3"/>
      <c r="R328" s="3"/>
      <c r="S328" t="str">
        <f t="shared" si="13"/>
        <v>Megachilecampanulae</v>
      </c>
    </row>
    <row r="329" spans="1:19" x14ac:dyDescent="0.35">
      <c r="B329" s="1" t="str">
        <f t="shared" si="12"/>
        <v>Megachileapicalis</v>
      </c>
      <c r="C329" t="s">
        <v>532</v>
      </c>
      <c r="D329" t="s">
        <v>539</v>
      </c>
      <c r="E329" t="s">
        <v>540</v>
      </c>
      <c r="L329" t="s">
        <v>853</v>
      </c>
      <c r="P329" t="str">
        <f>_xlfn.XLOOKUP("*" &amp; E329 &amp; "*",L:L,L:L, "Not Found in Ohio",2)</f>
        <v>Megachileapicalis</v>
      </c>
      <c r="Q329" s="3"/>
      <c r="R329" s="3"/>
      <c r="S329" t="str">
        <f t="shared" si="13"/>
        <v>Megachilecentuncularis</v>
      </c>
    </row>
    <row r="330" spans="1:19" x14ac:dyDescent="0.35">
      <c r="B330" s="1" t="str">
        <f t="shared" si="12"/>
        <v>Megachilepusilla</v>
      </c>
      <c r="C330" t="s">
        <v>532</v>
      </c>
      <c r="D330" t="s">
        <v>539</v>
      </c>
      <c r="E330" t="s">
        <v>541</v>
      </c>
      <c r="L330" t="s">
        <v>854</v>
      </c>
      <c r="P330" t="str">
        <f>_xlfn.XLOOKUP("*" &amp; E330 &amp; "*",L:L,L:L, "Not Found in Ohio",2)</f>
        <v>Megachilepusilla</v>
      </c>
      <c r="Q330" s="3"/>
      <c r="R330" s="3"/>
      <c r="S330" t="str">
        <f t="shared" si="13"/>
        <v>Not Found in Michigan</v>
      </c>
    </row>
    <row r="331" spans="1:19" x14ac:dyDescent="0.35">
      <c r="B331" s="1" t="str">
        <f t="shared" si="12"/>
        <v>Megachilerotundata</v>
      </c>
      <c r="C331" t="s">
        <v>532</v>
      </c>
      <c r="D331" t="s">
        <v>539</v>
      </c>
      <c r="E331" t="s">
        <v>542</v>
      </c>
      <c r="L331" t="s">
        <v>855</v>
      </c>
      <c r="P331" t="str">
        <f>_xlfn.XLOOKUP("*" &amp; E331 &amp; "*",L:L,L:L, "Not Found in Ohio",2)</f>
        <v>Megachilerotundata</v>
      </c>
      <c r="Q331" s="3"/>
      <c r="R331" s="3"/>
      <c r="S331" t="str">
        <f t="shared" si="13"/>
        <v>Megachilefrigida</v>
      </c>
    </row>
    <row r="332" spans="1:19" x14ac:dyDescent="0.35">
      <c r="B332" s="1" t="str">
        <f t="shared" si="12"/>
        <v>Megachilepetulans</v>
      </c>
      <c r="C332" t="s">
        <v>532</v>
      </c>
      <c r="D332" t="s">
        <v>543</v>
      </c>
      <c r="E332" t="s">
        <v>544</v>
      </c>
      <c r="L332" t="s">
        <v>856</v>
      </c>
      <c r="P332" t="str">
        <f>_xlfn.XLOOKUP("*" &amp; E332 &amp; "*",L:L,L:L, "Not Found in Ohio",2)</f>
        <v>Megachilepetulans</v>
      </c>
      <c r="Q332" s="3"/>
      <c r="R332" s="3"/>
      <c r="S332" t="str">
        <f t="shared" si="13"/>
        <v>Megachilefrugalis</v>
      </c>
    </row>
    <row r="333" spans="1:19" x14ac:dyDescent="0.35">
      <c r="B333" s="1" t="str">
        <f t="shared" si="12"/>
        <v>Megachilebrevis</v>
      </c>
      <c r="C333" t="s">
        <v>532</v>
      </c>
      <c r="D333" t="s">
        <v>545</v>
      </c>
      <c r="E333" t="s">
        <v>546</v>
      </c>
      <c r="L333" t="s">
        <v>857</v>
      </c>
      <c r="P333" t="str">
        <f>_xlfn.XLOOKUP("*" &amp; E333 &amp; "*",L:L,L:L, "Not Found in Ohio",2)</f>
        <v>Megachilebrevis</v>
      </c>
      <c r="Q333" s="3"/>
      <c r="R333" s="3"/>
      <c r="S333" t="str">
        <f t="shared" si="13"/>
        <v>Megachilegemula</v>
      </c>
    </row>
    <row r="334" spans="1:19" x14ac:dyDescent="0.35">
      <c r="B334" s="1" t="str">
        <f t="shared" ref="B334:B369" si="14">C334&amp;E334</f>
        <v>Megachilemendica</v>
      </c>
      <c r="C334" t="s">
        <v>532</v>
      </c>
      <c r="D334" t="s">
        <v>545</v>
      </c>
      <c r="E334" t="s">
        <v>547</v>
      </c>
      <c r="L334" t="s">
        <v>858</v>
      </c>
      <c r="P334" t="str">
        <f>_xlfn.XLOOKUP("*" &amp; E334 &amp; "*",L:L,L:L, "Not Found in Ohio",2)</f>
        <v>Andrenamendica</v>
      </c>
      <c r="Q334" s="3"/>
      <c r="R334" s="3"/>
      <c r="S334" t="str">
        <f t="shared" si="13"/>
        <v>Megachileinimical</v>
      </c>
    </row>
    <row r="335" spans="1:19" x14ac:dyDescent="0.35">
      <c r="B335" s="1" t="str">
        <f t="shared" si="14"/>
        <v>Megachiletexana</v>
      </c>
      <c r="C335" t="s">
        <v>532</v>
      </c>
      <c r="D335" t="s">
        <v>545</v>
      </c>
      <c r="E335" t="s">
        <v>548</v>
      </c>
      <c r="L335" t="s">
        <v>859</v>
      </c>
      <c r="P335" t="str">
        <f>_xlfn.XLOOKUP("*" &amp; E335 &amp; "*",L:L,L:L, "Not Found in Ohio",2)</f>
        <v>Megachiletexana</v>
      </c>
      <c r="Q335" s="3"/>
      <c r="R335" s="3"/>
      <c r="S335" t="str">
        <f t="shared" si="13"/>
        <v>Not Found in Michigan</v>
      </c>
    </row>
    <row r="336" spans="1:19" x14ac:dyDescent="0.35">
      <c r="B336" s="1" t="str">
        <f t="shared" si="14"/>
        <v>Megachilecentuncularis</v>
      </c>
      <c r="C336" t="s">
        <v>532</v>
      </c>
      <c r="D336" t="s">
        <v>549</v>
      </c>
      <c r="E336" t="s">
        <v>550</v>
      </c>
      <c r="L336" t="s">
        <v>860</v>
      </c>
      <c r="P336" t="str">
        <f>_xlfn.XLOOKUP("*" &amp; E336 &amp; "*",L:L,L:L, "Not Found in Ohio",2)</f>
        <v>Megachilecentuncularis</v>
      </c>
      <c r="Q336" s="3"/>
      <c r="R336" s="3"/>
      <c r="S336" t="str">
        <f t="shared" si="13"/>
        <v>Megachilelatimanus</v>
      </c>
    </row>
    <row r="337" spans="2:19" x14ac:dyDescent="0.35">
      <c r="B337" s="1" t="str">
        <f t="shared" si="14"/>
        <v>Megachileinermis</v>
      </c>
      <c r="C337" t="s">
        <v>532</v>
      </c>
      <c r="D337" t="s">
        <v>549</v>
      </c>
      <c r="E337" t="s">
        <v>551</v>
      </c>
      <c r="L337" t="s">
        <v>861</v>
      </c>
      <c r="P337" t="str">
        <f>_xlfn.XLOOKUP("*" &amp; E337 &amp; "*",L:L,L:L, "Not Found in Ohio",2)</f>
        <v>Not Found in Ohio</v>
      </c>
      <c r="Q337" s="3"/>
      <c r="R337" s="3"/>
      <c r="S337" t="str">
        <f t="shared" si="13"/>
        <v>Megachilemendica</v>
      </c>
    </row>
    <row r="338" spans="2:19" x14ac:dyDescent="0.35">
      <c r="B338" s="1" t="str">
        <f t="shared" si="14"/>
        <v>Megachilelapponica</v>
      </c>
      <c r="C338" t="s">
        <v>532</v>
      </c>
      <c r="D338" t="s">
        <v>549</v>
      </c>
      <c r="E338" t="s">
        <v>552</v>
      </c>
      <c r="L338" t="s">
        <v>862</v>
      </c>
      <c r="P338" t="str">
        <f>_xlfn.XLOOKUP("*" &amp; E338 &amp; "*",L:L,L:L, "Not Found in Ohio",2)</f>
        <v>Not Found in Ohio</v>
      </c>
      <c r="Q338" s="3"/>
      <c r="R338" s="3"/>
      <c r="S338" t="str">
        <f t="shared" si="13"/>
        <v>Megachilemontivaga</v>
      </c>
    </row>
    <row r="339" spans="2:19" x14ac:dyDescent="0.35">
      <c r="B339" s="1" t="str">
        <f t="shared" si="14"/>
        <v>Megachilemontivaga</v>
      </c>
      <c r="C339" t="s">
        <v>532</v>
      </c>
      <c r="D339" t="s">
        <v>549</v>
      </c>
      <c r="E339" t="s">
        <v>553</v>
      </c>
      <c r="L339" t="s">
        <v>863</v>
      </c>
      <c r="P339" t="str">
        <f>_xlfn.XLOOKUP("*" &amp; E339 &amp; "*",L:L,L:L, "Not Found in Ohio",2)</f>
        <v>Megachilemontivaga</v>
      </c>
      <c r="Q339" s="3"/>
      <c r="R339" s="3"/>
      <c r="S339" t="str">
        <f t="shared" si="13"/>
        <v>Megachilemucida</v>
      </c>
    </row>
    <row r="340" spans="2:19" x14ac:dyDescent="0.35">
      <c r="B340" s="1" t="str">
        <f t="shared" si="14"/>
        <v>Megachilerelativa</v>
      </c>
      <c r="C340" t="s">
        <v>532</v>
      </c>
      <c r="D340" t="s">
        <v>549</v>
      </c>
      <c r="E340" t="s">
        <v>554</v>
      </c>
      <c r="L340" t="s">
        <v>864</v>
      </c>
      <c r="P340" t="str">
        <f>_xlfn.XLOOKUP("*" &amp; E340 &amp; "*",L:L,L:L, "Not Found in Ohio",2)</f>
        <v>Megachilerelativa</v>
      </c>
      <c r="Q340" s="3"/>
      <c r="R340" s="3"/>
      <c r="S340" t="str">
        <f t="shared" si="13"/>
        <v>Megachilepetulans</v>
      </c>
    </row>
    <row r="341" spans="2:19" x14ac:dyDescent="0.35">
      <c r="B341" s="1" t="str">
        <f t="shared" si="14"/>
        <v>Megachiledakotensis</v>
      </c>
      <c r="C341" t="s">
        <v>532</v>
      </c>
      <c r="D341" t="s">
        <v>555</v>
      </c>
      <c r="E341" t="s">
        <v>556</v>
      </c>
      <c r="L341" t="s">
        <v>865</v>
      </c>
      <c r="P341" t="str">
        <f>_xlfn.XLOOKUP("*" &amp; E341 &amp; "*",L:L,L:L, "Not Found in Ohio",2)</f>
        <v>Not Found in Ohio</v>
      </c>
      <c r="Q341" s="3"/>
      <c r="R341" s="3"/>
      <c r="S341" t="str">
        <f t="shared" si="13"/>
        <v>Megachilepugnata</v>
      </c>
    </row>
    <row r="342" spans="2:19" x14ac:dyDescent="0.35">
      <c r="B342" s="1" t="str">
        <f t="shared" si="14"/>
        <v>Megachilefrugalis</v>
      </c>
      <c r="C342" t="s">
        <v>532</v>
      </c>
      <c r="D342" t="s">
        <v>557</v>
      </c>
      <c r="E342" t="s">
        <v>558</v>
      </c>
      <c r="F342" t="s">
        <v>558</v>
      </c>
      <c r="L342" t="s">
        <v>866</v>
      </c>
      <c r="P342" t="str">
        <f>_xlfn.XLOOKUP("*" &amp; E342 &amp; "*",L:L,L:L, "Not Found in Ohio",2)</f>
        <v>Megachilefrugalis</v>
      </c>
      <c r="Q342" s="3"/>
      <c r="R342" s="3"/>
      <c r="S342" t="str">
        <f t="shared" si="13"/>
        <v>Megachilepusilla</v>
      </c>
    </row>
    <row r="343" spans="2:19" x14ac:dyDescent="0.35">
      <c r="B343" s="1" t="str">
        <f t="shared" si="14"/>
        <v>Megachileinimical</v>
      </c>
      <c r="C343" t="s">
        <v>532</v>
      </c>
      <c r="D343" t="s">
        <v>557</v>
      </c>
      <c r="E343" t="s">
        <v>559</v>
      </c>
      <c r="F343" t="s">
        <v>303</v>
      </c>
      <c r="L343" t="s">
        <v>867</v>
      </c>
      <c r="P343" t="str">
        <f>_xlfn.XLOOKUP("*" &amp; E343 &amp; "*",L:L,L:L, "Not Found in Ohio",2)</f>
        <v>Not Found in Ohio</v>
      </c>
      <c r="Q343" s="3"/>
      <c r="R343" s="3"/>
      <c r="S343" t="str">
        <f t="shared" si="13"/>
        <v>Megachilerelativa</v>
      </c>
    </row>
    <row r="344" spans="2:19" x14ac:dyDescent="0.35">
      <c r="B344" s="1" t="str">
        <f t="shared" si="14"/>
        <v>Megachilepugnata</v>
      </c>
      <c r="C344" t="s">
        <v>532</v>
      </c>
      <c r="D344" t="s">
        <v>557</v>
      </c>
      <c r="E344" t="s">
        <v>560</v>
      </c>
      <c r="F344" t="s">
        <v>560</v>
      </c>
      <c r="L344" t="s">
        <v>868</v>
      </c>
      <c r="P344" t="str">
        <f>_xlfn.XLOOKUP("*" &amp; E344 &amp; "*",L:L,L:L, "Not Found in Ohio",2)</f>
        <v>Megachilepugnata</v>
      </c>
      <c r="Q344" s="3"/>
      <c r="R344" s="3"/>
      <c r="S344" t="str">
        <f t="shared" si="13"/>
        <v>Megachilerotundata</v>
      </c>
    </row>
    <row r="345" spans="2:19" x14ac:dyDescent="0.35">
      <c r="B345" s="1" t="str">
        <f t="shared" si="14"/>
        <v>Megachileaddenda</v>
      </c>
      <c r="C345" t="s">
        <v>532</v>
      </c>
      <c r="D345" t="s">
        <v>561</v>
      </c>
      <c r="E345" t="s">
        <v>562</v>
      </c>
      <c r="L345" t="s">
        <v>869</v>
      </c>
      <c r="P345" t="str">
        <f>_xlfn.XLOOKUP("*" &amp; E345 &amp; "*",L:L,L:L, "Not Found in Ohio",2)</f>
        <v>Megachileaddenda</v>
      </c>
      <c r="Q345" s="3"/>
      <c r="R345" s="3"/>
      <c r="S345" t="str">
        <f t="shared" si="13"/>
        <v>Megachilerugifrons</v>
      </c>
    </row>
    <row r="346" spans="2:19" x14ac:dyDescent="0.35">
      <c r="B346" s="1" t="str">
        <f t="shared" si="14"/>
        <v>Megachilefrigida</v>
      </c>
      <c r="C346" t="s">
        <v>532</v>
      </c>
      <c r="D346" t="s">
        <v>561</v>
      </c>
      <c r="E346" t="s">
        <v>32</v>
      </c>
      <c r="F346" t="s">
        <v>32</v>
      </c>
      <c r="L346" t="s">
        <v>870</v>
      </c>
      <c r="P346" t="str">
        <f>_xlfn.XLOOKUP("*" &amp; E346 &amp; "*",L:L,L:L, "Not Found in Ohio",2)</f>
        <v>Megachilefrigida</v>
      </c>
      <c r="Q346" s="3"/>
      <c r="R346" s="3"/>
      <c r="S346" t="str">
        <f t="shared" si="13"/>
        <v>Megachilesculpturalis</v>
      </c>
    </row>
    <row r="347" spans="2:19" x14ac:dyDescent="0.35">
      <c r="B347" s="1" t="str">
        <f t="shared" si="14"/>
        <v>Megachilegemula</v>
      </c>
      <c r="C347" t="s">
        <v>532</v>
      </c>
      <c r="D347" t="s">
        <v>561</v>
      </c>
      <c r="E347" t="s">
        <v>563</v>
      </c>
      <c r="F347" t="s">
        <v>563</v>
      </c>
      <c r="L347" t="s">
        <v>871</v>
      </c>
      <c r="P347" t="str">
        <f>_xlfn.XLOOKUP("*" &amp; E347 &amp; "*",L:L,L:L, "Not Found in Ohio",2)</f>
        <v>Megachilegemula</v>
      </c>
      <c r="Q347" s="3"/>
      <c r="R347" s="3"/>
      <c r="S347" t="str">
        <f t="shared" si="13"/>
        <v>Megachiletexana</v>
      </c>
    </row>
    <row r="348" spans="2:19" x14ac:dyDescent="0.35">
      <c r="B348" s="1" t="str">
        <f t="shared" si="14"/>
        <v>Megachilelatimanus</v>
      </c>
      <c r="C348" t="s">
        <v>532</v>
      </c>
      <c r="D348" t="s">
        <v>561</v>
      </c>
      <c r="E348" t="s">
        <v>564</v>
      </c>
      <c r="L348" t="s">
        <v>872</v>
      </c>
      <c r="P348" t="str">
        <f>_xlfn.XLOOKUP("*" &amp; E348 &amp; "*",L:L,L:L, "Not Found in Ohio",2)</f>
        <v>Megachilelatimanus</v>
      </c>
      <c r="Q348" s="3"/>
      <c r="R348" s="3"/>
      <c r="S348" t="str">
        <f t="shared" si="13"/>
        <v>Not Found in Michigan</v>
      </c>
    </row>
    <row r="349" spans="2:19" x14ac:dyDescent="0.35">
      <c r="B349" s="1" t="str">
        <f t="shared" si="14"/>
        <v>Megachilemelanophaea</v>
      </c>
      <c r="C349" t="s">
        <v>532</v>
      </c>
      <c r="D349" t="s">
        <v>561</v>
      </c>
      <c r="E349" t="s">
        <v>22</v>
      </c>
      <c r="F349" t="s">
        <v>22</v>
      </c>
      <c r="P349" t="str">
        <f>_xlfn.XLOOKUP("*" &amp; E349 &amp; "*",L:L,L:L, "Not Found in Ohio",2)</f>
        <v>Not Found in Ohio</v>
      </c>
      <c r="Q349" s="3"/>
      <c r="R349" s="3"/>
      <c r="S349" t="str">
        <f t="shared" si="13"/>
        <v>Genus and species</v>
      </c>
    </row>
    <row r="350" spans="2:19" x14ac:dyDescent="0.35">
      <c r="B350" s="1" t="str">
        <f t="shared" si="14"/>
        <v>Megachilemucida</v>
      </c>
      <c r="C350" t="s">
        <v>532</v>
      </c>
      <c r="D350" t="s">
        <v>561</v>
      </c>
      <c r="E350" t="s">
        <v>565</v>
      </c>
      <c r="P350" t="str">
        <f>_xlfn.XLOOKUP("*" &amp; E350 &amp; "*",L:L,L:L, "Not Found in Ohio",2)</f>
        <v>Megachilemucida</v>
      </c>
      <c r="Q350" s="3"/>
      <c r="R350" s="3"/>
      <c r="S350" t="str">
        <f t="shared" si="13"/>
        <v>Genus and species</v>
      </c>
    </row>
    <row r="351" spans="2:19" x14ac:dyDescent="0.35">
      <c r="B351" s="1" t="str">
        <f t="shared" si="14"/>
        <v>Megachileperihirta</v>
      </c>
      <c r="C351" t="s">
        <v>532</v>
      </c>
      <c r="D351" t="s">
        <v>561</v>
      </c>
      <c r="E351" t="s">
        <v>566</v>
      </c>
      <c r="P351" t="str">
        <f>_xlfn.XLOOKUP("*" &amp; E351 &amp; "*",L:L,L:L, "Not Found in Ohio",2)</f>
        <v>Not Found in Ohio</v>
      </c>
      <c r="Q351" s="3"/>
      <c r="R351" s="3"/>
      <c r="S351" t="str">
        <f t="shared" si="13"/>
        <v>Genus and species</v>
      </c>
    </row>
    <row r="352" spans="2:19" x14ac:dyDescent="0.35">
      <c r="L352" t="s">
        <v>873</v>
      </c>
      <c r="P352" t="str">
        <f>_xlfn.XLOOKUP("*" &amp; E352 &amp; "*",L:L,L:L, "Not Found in Ohio",2)</f>
        <v>Ohio Regional Species pool</v>
      </c>
      <c r="Q352" s="3"/>
      <c r="R352" s="3"/>
      <c r="S352" t="str">
        <f t="shared" si="13"/>
        <v>Not Found in Michigan</v>
      </c>
    </row>
    <row r="353" spans="2:19" x14ac:dyDescent="0.35">
      <c r="P353" t="str">
        <f>_xlfn.XLOOKUP("*" &amp; E353 &amp; "*",L:L,L:L, "Not Found in Ohio",2)</f>
        <v>Ohio Regional Species pool</v>
      </c>
      <c r="Q353" s="3"/>
      <c r="R353" s="3"/>
      <c r="S353" t="str">
        <f t="shared" si="13"/>
        <v>Genus and species</v>
      </c>
    </row>
    <row r="354" spans="2:19" x14ac:dyDescent="0.35">
      <c r="B354" s="1" t="str">
        <f t="shared" ref="B354:B367" si="15">C354&amp;E354</f>
        <v>Melissodesapicatus</v>
      </c>
      <c r="C354" s="1" t="s">
        <v>225</v>
      </c>
      <c r="D354" t="s">
        <v>226</v>
      </c>
      <c r="E354" t="s">
        <v>227</v>
      </c>
      <c r="P354" t="str">
        <f>_xlfn.XLOOKUP("*" &amp; E354 &amp; "*",L:L,L:L, "Not Found in Ohio",2)</f>
        <v>Not Found in Ohio</v>
      </c>
      <c r="Q354" s="3"/>
      <c r="R354" s="3"/>
      <c r="S354" t="str">
        <f t="shared" si="13"/>
        <v>Genus and species</v>
      </c>
    </row>
    <row r="355" spans="2:19" x14ac:dyDescent="0.35">
      <c r="B355" s="1" t="str">
        <f t="shared" si="15"/>
        <v>Melissodesagilis</v>
      </c>
      <c r="C355" s="1" t="s">
        <v>225</v>
      </c>
      <c r="D355" t="s">
        <v>228</v>
      </c>
      <c r="E355" t="s">
        <v>229</v>
      </c>
      <c r="L355" t="s">
        <v>874</v>
      </c>
      <c r="P355" t="str">
        <f>_xlfn.XLOOKUP("*" &amp; E355 &amp; "*",L:L,L:L, "Not Found in Ohio",2)</f>
        <v>Andrenafragilis</v>
      </c>
      <c r="Q355" s="3"/>
      <c r="R355" s="3"/>
      <c r="S355" t="str">
        <f t="shared" si="13"/>
        <v>Melissodesagilis</v>
      </c>
    </row>
    <row r="356" spans="2:19" x14ac:dyDescent="0.35">
      <c r="B356" s="1" t="str">
        <f t="shared" si="15"/>
        <v>Melissodesdenticulatus</v>
      </c>
      <c r="C356" s="1" t="s">
        <v>225</v>
      </c>
      <c r="D356" t="s">
        <v>228</v>
      </c>
      <c r="E356" t="s">
        <v>230</v>
      </c>
      <c r="L356" t="s">
        <v>875</v>
      </c>
      <c r="P356" t="str">
        <f>_xlfn.XLOOKUP("*" &amp; E356 &amp; "*",L:L,L:L, "Not Found in Ohio",2)</f>
        <v>Melissodesdenticulatus</v>
      </c>
      <c r="Q356" s="3"/>
      <c r="R356" s="3"/>
      <c r="S356" t="str">
        <f t="shared" si="13"/>
        <v>Melissodesbimaculatus</v>
      </c>
    </row>
    <row r="357" spans="2:19" x14ac:dyDescent="0.35">
      <c r="B357" s="1" t="str">
        <f t="shared" si="15"/>
        <v>Melissodesdentiventris</v>
      </c>
      <c r="C357" s="1" t="s">
        <v>225</v>
      </c>
      <c r="D357" t="s">
        <v>228</v>
      </c>
      <c r="E357" t="s">
        <v>231</v>
      </c>
      <c r="L357" t="s">
        <v>876</v>
      </c>
      <c r="P357" t="str">
        <f>_xlfn.XLOOKUP("*" &amp; E357 &amp; "*",L:L,L:L, "Not Found in Ohio",2)</f>
        <v>Melissodesdentiventris</v>
      </c>
      <c r="Q357" s="3"/>
      <c r="R357" s="3"/>
      <c r="S357" t="str">
        <f t="shared" si="13"/>
        <v>Not Found in Michigan</v>
      </c>
    </row>
    <row r="358" spans="2:19" x14ac:dyDescent="0.35">
      <c r="B358" s="1" t="str">
        <f t="shared" si="15"/>
        <v>Melissodesdruriellus</v>
      </c>
      <c r="C358" s="1" t="s">
        <v>225</v>
      </c>
      <c r="D358" t="s">
        <v>228</v>
      </c>
      <c r="E358" t="s">
        <v>232</v>
      </c>
      <c r="L358" t="s">
        <v>877</v>
      </c>
      <c r="P358" t="str">
        <f>_xlfn.XLOOKUP("*" &amp; E358 &amp; "*",L:L,L:L, "Not Found in Ohio",2)</f>
        <v>Melissodesdruriellus</v>
      </c>
      <c r="Q358" s="3"/>
      <c r="R358" s="3"/>
      <c r="S358" t="str">
        <f t="shared" si="13"/>
        <v>Melissodesdenticulatus</v>
      </c>
    </row>
    <row r="359" spans="2:19" x14ac:dyDescent="0.35">
      <c r="B359" s="1" t="str">
        <f t="shared" si="15"/>
        <v>Melissodesillatus</v>
      </c>
      <c r="C359" s="1" t="s">
        <v>225</v>
      </c>
      <c r="D359" t="s">
        <v>228</v>
      </c>
      <c r="E359" t="s">
        <v>233</v>
      </c>
      <c r="L359" t="s">
        <v>878</v>
      </c>
      <c r="P359" t="str">
        <f>_xlfn.XLOOKUP("*" &amp; E359 &amp; "*",L:L,L:L, "Not Found in Ohio",2)</f>
        <v>Melissodessubillatus</v>
      </c>
      <c r="Q359" s="3"/>
      <c r="R359" s="3"/>
      <c r="S359" t="str">
        <f t="shared" si="13"/>
        <v>Melissodesdentiventris</v>
      </c>
    </row>
    <row r="360" spans="2:19" x14ac:dyDescent="0.35">
      <c r="B360" s="1" t="str">
        <f t="shared" si="15"/>
        <v>Melissodesniveus</v>
      </c>
      <c r="C360" s="1" t="s">
        <v>225</v>
      </c>
      <c r="D360" t="s">
        <v>228</v>
      </c>
      <c r="E360" t="s">
        <v>234</v>
      </c>
      <c r="L360" t="s">
        <v>879</v>
      </c>
      <c r="P360" t="str">
        <f>_xlfn.XLOOKUP("*" &amp; E360 &amp; "*",L:L,L:L, "Not Found in Ohio",2)</f>
        <v>Melissodesniveus</v>
      </c>
      <c r="Q360" s="3"/>
      <c r="R360" s="3"/>
      <c r="S360" t="str">
        <f t="shared" si="13"/>
        <v>Melissodesdesponsus</v>
      </c>
    </row>
    <row r="361" spans="2:19" x14ac:dyDescent="0.35">
      <c r="B361" s="1" t="str">
        <f t="shared" si="15"/>
        <v>Melissodessubillatus</v>
      </c>
      <c r="C361" s="1" t="s">
        <v>225</v>
      </c>
      <c r="D361" t="s">
        <v>228</v>
      </c>
      <c r="E361" t="s">
        <v>235</v>
      </c>
      <c r="L361" t="s">
        <v>880</v>
      </c>
      <c r="P361" t="str">
        <f>_xlfn.XLOOKUP("*" &amp; E361 &amp; "*",L:L,L:L, "Not Found in Ohio",2)</f>
        <v>Melissodessubillatus</v>
      </c>
      <c r="Q361" s="3"/>
      <c r="R361" s="3"/>
      <c r="S361" t="str">
        <f t="shared" si="13"/>
        <v>Melissodesdruriellus</v>
      </c>
    </row>
    <row r="362" spans="2:19" x14ac:dyDescent="0.35">
      <c r="B362" s="1" t="str">
        <f t="shared" si="15"/>
        <v>Melissodestinctus</v>
      </c>
      <c r="C362" s="1" t="s">
        <v>225</v>
      </c>
      <c r="D362" t="s">
        <v>228</v>
      </c>
      <c r="E362" t="s">
        <v>236</v>
      </c>
      <c r="L362" t="s">
        <v>881</v>
      </c>
      <c r="P362" t="str">
        <f>_xlfn.XLOOKUP("*" &amp; E362 &amp; "*",L:L,L:L, "Not Found in Ohio",2)</f>
        <v>Melissodestinctus</v>
      </c>
      <c r="Q362" s="3"/>
      <c r="R362" s="3"/>
      <c r="S362" t="str">
        <f t="shared" si="13"/>
        <v>Melissodesniveus</v>
      </c>
    </row>
    <row r="363" spans="2:19" x14ac:dyDescent="0.35">
      <c r="B363" s="1" t="str">
        <f t="shared" si="15"/>
        <v>Melissodestrinodis</v>
      </c>
      <c r="C363" s="1" t="s">
        <v>225</v>
      </c>
      <c r="D363" t="s">
        <v>228</v>
      </c>
      <c r="E363" t="s">
        <v>237</v>
      </c>
      <c r="L363" t="s">
        <v>882</v>
      </c>
      <c r="P363" t="str">
        <f>_xlfn.XLOOKUP("*" &amp; E363 &amp; "*",L:L,L:L, "Not Found in Ohio",2)</f>
        <v>Melissodestrinodis</v>
      </c>
      <c r="Q363" s="3"/>
      <c r="R363" s="3"/>
      <c r="S363" t="str">
        <f t="shared" si="13"/>
        <v>Melissodessubillatus</v>
      </c>
    </row>
    <row r="364" spans="2:19" x14ac:dyDescent="0.35">
      <c r="B364" s="1" t="str">
        <f t="shared" si="15"/>
        <v>Melissodeswheeleri</v>
      </c>
      <c r="C364" s="1" t="s">
        <v>225</v>
      </c>
      <c r="D364" t="s">
        <v>228</v>
      </c>
      <c r="E364" t="s">
        <v>180</v>
      </c>
      <c r="L364" t="s">
        <v>883</v>
      </c>
      <c r="P364" t="str">
        <f>_xlfn.XLOOKUP("*" &amp; E364 &amp; "*",L:L,L:L, "Not Found in Ohio",2)</f>
        <v>Melissodeswheeleri</v>
      </c>
      <c r="Q364" s="3"/>
      <c r="R364" s="3"/>
      <c r="S364" t="str">
        <f t="shared" si="13"/>
        <v>Melissodestinctus</v>
      </c>
    </row>
    <row r="365" spans="2:19" x14ac:dyDescent="0.35">
      <c r="B365" s="1" t="str">
        <f t="shared" si="15"/>
        <v>Melissodesdesponsus</v>
      </c>
      <c r="C365" s="1" t="s">
        <v>225</v>
      </c>
      <c r="D365" t="s">
        <v>238</v>
      </c>
      <c r="E365" t="s">
        <v>239</v>
      </c>
      <c r="L365" t="s">
        <v>884</v>
      </c>
      <c r="P365" t="str">
        <f>_xlfn.XLOOKUP("*" &amp; E365 &amp; "*",L:L,L:L, "Not Found in Ohio",2)</f>
        <v>Melissodesdesponsus</v>
      </c>
      <c r="Q365" s="3"/>
      <c r="R365" s="3"/>
      <c r="S365" t="str">
        <f t="shared" si="13"/>
        <v>Melissodestrinodis</v>
      </c>
    </row>
    <row r="366" spans="2:19" x14ac:dyDescent="0.35">
      <c r="B366" s="1" t="str">
        <f t="shared" si="15"/>
        <v>Melissodesbimaculatus</v>
      </c>
      <c r="C366" s="1" t="s">
        <v>225</v>
      </c>
      <c r="D366" t="s">
        <v>240</v>
      </c>
      <c r="E366" t="s">
        <v>205</v>
      </c>
      <c r="F366" t="s">
        <v>205</v>
      </c>
      <c r="L366" t="s">
        <v>885</v>
      </c>
      <c r="P366" t="str">
        <f>_xlfn.XLOOKUP("*" &amp; E366 &amp; "*",L:L,L:L, "Not Found in Ohio",2)</f>
        <v>Bombusbimaculatus</v>
      </c>
      <c r="Q366" s="3"/>
      <c r="R366" s="3"/>
      <c r="S366" t="str">
        <f t="shared" si="13"/>
        <v>Melissodeswheeleri</v>
      </c>
    </row>
    <row r="367" spans="2:19" x14ac:dyDescent="0.35">
      <c r="B367" s="1" t="str">
        <f t="shared" si="15"/>
        <v>Melissodescommunis</v>
      </c>
      <c r="C367" s="1" t="s">
        <v>225</v>
      </c>
      <c r="D367" t="s">
        <v>240</v>
      </c>
      <c r="E367" t="s">
        <v>241</v>
      </c>
      <c r="F367" t="s">
        <v>242</v>
      </c>
      <c r="P367" t="str">
        <f>_xlfn.XLOOKUP("*" &amp; E367 &amp; "*",L:L,L:L, "Not Found in Ohio",2)</f>
        <v>Not Found in Ohio</v>
      </c>
      <c r="Q367" s="3"/>
      <c r="R367" s="3"/>
      <c r="S367" t="str">
        <f t="shared" si="13"/>
        <v>Genus and species</v>
      </c>
    </row>
    <row r="368" spans="2:19" x14ac:dyDescent="0.35">
      <c r="B368" s="1" t="str">
        <f t="shared" si="14"/>
        <v/>
      </c>
      <c r="L368" t="s">
        <v>886</v>
      </c>
      <c r="P368" t="str">
        <f>_xlfn.XLOOKUP("*" &amp; E368 &amp; "*",L:L,L:L, "Not Found in Ohio",2)</f>
        <v>Ohio Regional Species pool</v>
      </c>
      <c r="Q368" s="3"/>
      <c r="R368" s="3"/>
      <c r="S368" t="str">
        <f t="shared" si="13"/>
        <v>Not Found in Michigan</v>
      </c>
    </row>
    <row r="369" spans="1:19" x14ac:dyDescent="0.35">
      <c r="B369" s="1" t="str">
        <f t="shared" si="14"/>
        <v/>
      </c>
      <c r="P369" t="str">
        <f>_xlfn.XLOOKUP("*" &amp; E369 &amp; "*",L:L,L:L, "Not Found in Ohio",2)</f>
        <v>Ohio Regional Species pool</v>
      </c>
      <c r="Q369" s="3"/>
      <c r="R369" s="3"/>
      <c r="S369" t="str">
        <f t="shared" si="13"/>
        <v>Genus and species</v>
      </c>
    </row>
    <row r="370" spans="1:19" x14ac:dyDescent="0.35">
      <c r="A370" s="1" t="s">
        <v>4</v>
      </c>
      <c r="B370" s="1" t="str">
        <f t="shared" ref="B370:B401" si="16">C370&amp;E370</f>
        <v>Nomadaalpha</v>
      </c>
      <c r="C370" s="1" t="s">
        <v>269</v>
      </c>
      <c r="D370" t="s">
        <v>270</v>
      </c>
      <c r="E370" t="s">
        <v>270</v>
      </c>
      <c r="L370" t="s">
        <v>887</v>
      </c>
      <c r="P370" t="str">
        <f>_xlfn.XLOOKUP("*" &amp; E370 &amp; "*",L:L,L:L, "Not Found in Ohio",2)</f>
        <v>Not Found in Ohio</v>
      </c>
      <c r="Q370" s="3"/>
      <c r="R370" s="3"/>
      <c r="S370" t="str">
        <f t="shared" si="13"/>
        <v>Not Found in Michigan</v>
      </c>
    </row>
    <row r="371" spans="1:19" x14ac:dyDescent="0.35">
      <c r="B371" s="1" t="str">
        <f t="shared" si="16"/>
        <v>Nomadaarmatella</v>
      </c>
      <c r="C371" s="1" t="s">
        <v>269</v>
      </c>
      <c r="E371" t="s">
        <v>271</v>
      </c>
      <c r="L371" t="s">
        <v>888</v>
      </c>
      <c r="P371" t="str">
        <f>_xlfn.XLOOKUP("*" &amp; E371 &amp; "*",L:L,L:L, "Not Found in Ohio",2)</f>
        <v>Not Found in Ohio</v>
      </c>
      <c r="Q371" s="3"/>
      <c r="R371" s="3"/>
      <c r="S371" t="str">
        <f t="shared" si="13"/>
        <v>Not Found in Michigan</v>
      </c>
    </row>
    <row r="372" spans="1:19" x14ac:dyDescent="0.35">
      <c r="B372" s="1" t="str">
        <f t="shared" si="16"/>
        <v>Nomadaarticulata</v>
      </c>
      <c r="C372" s="1" t="s">
        <v>269</v>
      </c>
      <c r="E372" t="s">
        <v>272</v>
      </c>
      <c r="L372" t="s">
        <v>889</v>
      </c>
      <c r="P372" t="str">
        <f>_xlfn.XLOOKUP("*" &amp; E372 &amp; "*",L:L,L:L, "Not Found in Ohio",2)</f>
        <v>Nomadaarticulata</v>
      </c>
      <c r="Q372" s="3"/>
      <c r="R372" s="3"/>
      <c r="S372" t="str">
        <f t="shared" si="13"/>
        <v>Nomadaarticulata</v>
      </c>
    </row>
    <row r="373" spans="1:19" x14ac:dyDescent="0.35">
      <c r="B373" s="1" t="str">
        <f t="shared" si="16"/>
        <v>Nomadaaustralis</v>
      </c>
      <c r="C373" s="1" t="s">
        <v>269</v>
      </c>
      <c r="E373" t="s">
        <v>273</v>
      </c>
      <c r="L373" t="s">
        <v>890</v>
      </c>
      <c r="P373" t="str">
        <f>_xlfn.XLOOKUP("*" &amp; E373 &amp; "*",L:L,L:L, "Not Found in Ohio",2)</f>
        <v>Nomadaaustralis</v>
      </c>
      <c r="Q373" s="3"/>
      <c r="R373" s="3"/>
      <c r="S373" t="str">
        <f t="shared" si="13"/>
        <v>Nomadaaustralis</v>
      </c>
    </row>
    <row r="374" spans="1:19" x14ac:dyDescent="0.35">
      <c r="B374" s="1" t="str">
        <f t="shared" si="16"/>
        <v>Nomadaautumnalis</v>
      </c>
      <c r="C374" s="1" t="s">
        <v>269</v>
      </c>
      <c r="E374" t="s">
        <v>254</v>
      </c>
      <c r="L374" t="s">
        <v>891</v>
      </c>
      <c r="P374" t="str">
        <f>_xlfn.XLOOKUP("*" &amp; E374 &amp; "*",L:L,L:L, "Not Found in Ohio",2)</f>
        <v>Epeolusautumnalis</v>
      </c>
      <c r="Q374" s="3"/>
      <c r="R374" s="3"/>
      <c r="S374" t="str">
        <f t="shared" si="13"/>
        <v>Nomadabella</v>
      </c>
    </row>
    <row r="375" spans="1:19" x14ac:dyDescent="0.35">
      <c r="B375" s="1" t="str">
        <f t="shared" si="16"/>
        <v>Nomadabanksi</v>
      </c>
      <c r="C375" s="1" t="s">
        <v>269</v>
      </c>
      <c r="E375" t="s">
        <v>274</v>
      </c>
      <c r="L375" t="s">
        <v>892</v>
      </c>
      <c r="P375" t="str">
        <f>_xlfn.XLOOKUP("*" &amp; E375 &amp; "*",L:L,L:L, "Not Found in Ohio",2)</f>
        <v>Coelioxysbanksi</v>
      </c>
      <c r="Q375" s="3"/>
      <c r="R375" s="3"/>
      <c r="S375" t="str">
        <f t="shared" si="13"/>
        <v>Nomadabethunei</v>
      </c>
    </row>
    <row r="376" spans="1:19" x14ac:dyDescent="0.35">
      <c r="B376" s="1" t="str">
        <f t="shared" si="16"/>
        <v>Nomadabella</v>
      </c>
      <c r="C376" s="1" t="s">
        <v>269</v>
      </c>
      <c r="E376" t="s">
        <v>275</v>
      </c>
      <c r="L376" t="s">
        <v>893</v>
      </c>
      <c r="P376" t="str">
        <f>_xlfn.XLOOKUP("*" &amp; E376 &amp; "*",L:L,L:L, "Not Found in Ohio",2)</f>
        <v>Nomadabella</v>
      </c>
      <c r="Q376" s="3"/>
      <c r="R376" s="3"/>
      <c r="S376" t="str">
        <f t="shared" si="13"/>
        <v>Nomadacressonii</v>
      </c>
    </row>
    <row r="377" spans="1:19" x14ac:dyDescent="0.35">
      <c r="B377" s="1" t="str">
        <f t="shared" si="16"/>
        <v>Nomadabesseyi</v>
      </c>
      <c r="C377" s="1" t="s">
        <v>269</v>
      </c>
      <c r="E377" t="s">
        <v>276</v>
      </c>
      <c r="L377" t="s">
        <v>894</v>
      </c>
      <c r="P377" t="str">
        <f>_xlfn.XLOOKUP("*" &amp; E377 &amp; "*",L:L,L:L, "Not Found in Ohio",2)</f>
        <v>Not Found in Ohio</v>
      </c>
      <c r="Q377" s="3"/>
      <c r="R377" s="3"/>
      <c r="S377" t="str">
        <f t="shared" si="13"/>
        <v>Nomadacuneata</v>
      </c>
    </row>
    <row r="378" spans="1:19" x14ac:dyDescent="0.35">
      <c r="B378" s="1" t="str">
        <f t="shared" si="16"/>
        <v>Nomadabethunei</v>
      </c>
      <c r="C378" s="1" t="s">
        <v>269</v>
      </c>
      <c r="E378" t="s">
        <v>277</v>
      </c>
      <c r="L378" t="s">
        <v>895</v>
      </c>
      <c r="P378" t="str">
        <f>_xlfn.XLOOKUP("*" &amp; E378 &amp; "*",L:L,L:L, "Not Found in Ohio",2)</f>
        <v>Nomadabethunei</v>
      </c>
      <c r="Q378" s="3"/>
      <c r="R378" s="3"/>
      <c r="S378" t="str">
        <f t="shared" si="13"/>
        <v>Nomadadenticulata</v>
      </c>
    </row>
    <row r="379" spans="1:19" x14ac:dyDescent="0.35">
      <c r="B379" s="1" t="str">
        <f t="shared" si="16"/>
        <v>Nomadabinotata</v>
      </c>
      <c r="C379" s="1" t="s">
        <v>269</v>
      </c>
      <c r="E379" t="s">
        <v>278</v>
      </c>
      <c r="L379" t="s">
        <v>896</v>
      </c>
      <c r="P379" t="str">
        <f>_xlfn.XLOOKUP("*" &amp; E379 &amp; "*",L:L,L:L, "Not Found in Ohio",2)</f>
        <v>Not Found in Ohio</v>
      </c>
      <c r="Q379" s="3"/>
      <c r="R379" s="3"/>
      <c r="S379" t="str">
        <f t="shared" si="13"/>
        <v>Nomadadepressa</v>
      </c>
    </row>
    <row r="380" spans="1:19" x14ac:dyDescent="0.35">
      <c r="B380" s="1" t="str">
        <f t="shared" si="16"/>
        <v>Nomadacomposita</v>
      </c>
      <c r="C380" s="1" t="s">
        <v>269</v>
      </c>
      <c r="E380" t="s">
        <v>279</v>
      </c>
      <c r="L380" t="s">
        <v>897</v>
      </c>
      <c r="P380" t="str">
        <f>_xlfn.XLOOKUP("*" &amp; E380 &amp; "*",L:L,L:L, "Not Found in Ohio",2)</f>
        <v>Pseudopanurguscompositarum</v>
      </c>
      <c r="Q380" s="3"/>
      <c r="R380" s="3"/>
      <c r="S380" t="str">
        <f t="shared" si="13"/>
        <v>Nomadafervida</v>
      </c>
    </row>
    <row r="381" spans="1:19" x14ac:dyDescent="0.35">
      <c r="B381" s="1" t="str">
        <f t="shared" si="16"/>
        <v>Nomadacressonii</v>
      </c>
      <c r="C381" s="1" t="s">
        <v>269</v>
      </c>
      <c r="E381" t="s">
        <v>67</v>
      </c>
      <c r="L381" t="s">
        <v>898</v>
      </c>
      <c r="P381" t="str">
        <f>_xlfn.XLOOKUP("*" &amp; E381 &amp; "*",L:L,L:L, "Not Found in Ohio",2)</f>
        <v>Andrenacressonii</v>
      </c>
      <c r="Q381" s="3"/>
      <c r="R381" s="3"/>
      <c r="S381" t="str">
        <f t="shared" si="13"/>
        <v>Not Found in Michigan</v>
      </c>
    </row>
    <row r="382" spans="1:19" x14ac:dyDescent="0.35">
      <c r="B382" s="1" t="str">
        <f t="shared" si="16"/>
        <v>Nomadacuneata</v>
      </c>
      <c r="C382" s="1" t="s">
        <v>269</v>
      </c>
      <c r="E382" t="s">
        <v>280</v>
      </c>
      <c r="L382" t="s">
        <v>899</v>
      </c>
      <c r="P382" t="str">
        <f>_xlfn.XLOOKUP("*" &amp; E382 &amp; "*",L:L,L:L, "Not Found in Ohio",2)</f>
        <v>Nomadacuneata</v>
      </c>
      <c r="Q382" s="3"/>
      <c r="R382" s="3"/>
      <c r="S382" t="str">
        <f t="shared" si="13"/>
        <v>Not Found in Michigan</v>
      </c>
    </row>
    <row r="383" spans="1:19" x14ac:dyDescent="0.35">
      <c r="B383" s="1" t="str">
        <f t="shared" si="16"/>
        <v>Nomadadecepta</v>
      </c>
      <c r="C383" s="1" t="s">
        <v>269</v>
      </c>
      <c r="E383" t="s">
        <v>281</v>
      </c>
      <c r="L383" t="s">
        <v>900</v>
      </c>
      <c r="P383" t="str">
        <f>_xlfn.XLOOKUP("*" &amp; E383 &amp; "*",L:L,L:L, "Not Found in Ohio",2)</f>
        <v>Not Found in Ohio</v>
      </c>
      <c r="Q383" s="3"/>
      <c r="R383" s="3"/>
      <c r="S383" t="str">
        <f t="shared" si="13"/>
        <v>Nomadaillinoensis</v>
      </c>
    </row>
    <row r="384" spans="1:19" x14ac:dyDescent="0.35">
      <c r="B384" s="1" t="str">
        <f t="shared" si="16"/>
        <v>Nomadadentariae</v>
      </c>
      <c r="C384" s="1" t="s">
        <v>269</v>
      </c>
      <c r="E384" t="s">
        <v>282</v>
      </c>
      <c r="L384" t="s">
        <v>901</v>
      </c>
      <c r="P384" t="str">
        <f>_xlfn.XLOOKUP("*" &amp; E384 &amp; "*",L:L,L:L, "Not Found in Ohio",2)</f>
        <v>Not Found in Ohio</v>
      </c>
      <c r="Q384" s="3"/>
      <c r="R384" s="3"/>
      <c r="S384" t="str">
        <f t="shared" si="13"/>
        <v>Nomadaimbricata</v>
      </c>
    </row>
    <row r="385" spans="2:19" x14ac:dyDescent="0.35">
      <c r="B385" s="1" t="str">
        <f t="shared" si="16"/>
        <v>Nomadadenticulata</v>
      </c>
      <c r="C385" s="1" t="s">
        <v>269</v>
      </c>
      <c r="E385" t="s">
        <v>283</v>
      </c>
      <c r="L385" t="s">
        <v>902</v>
      </c>
      <c r="P385" t="str">
        <f>_xlfn.XLOOKUP("*" &amp; E385 &amp; "*",L:L,L:L, "Not Found in Ohio",2)</f>
        <v>Nomadadenticulata</v>
      </c>
      <c r="Q385" s="3"/>
      <c r="R385" s="3"/>
      <c r="S385" t="str">
        <f t="shared" si="13"/>
        <v>Nomadalehighensis</v>
      </c>
    </row>
    <row r="386" spans="2:19" x14ac:dyDescent="0.35">
      <c r="B386" s="1" t="str">
        <f t="shared" si="16"/>
        <v>Nomadadepressa</v>
      </c>
      <c r="C386" s="1" t="s">
        <v>269</v>
      </c>
      <c r="E386" t="s">
        <v>284</v>
      </c>
      <c r="L386" t="s">
        <v>903</v>
      </c>
      <c r="P386" t="str">
        <f>_xlfn.XLOOKUP("*" &amp; E386 &amp; "*",L:L,L:L, "Not Found in Ohio",2)</f>
        <v>Nomadadepressa</v>
      </c>
      <c r="Q386" s="3"/>
      <c r="R386" s="3"/>
      <c r="S386" t="str">
        <f t="shared" si="13"/>
        <v>Nomadalepida</v>
      </c>
    </row>
    <row r="387" spans="2:19" x14ac:dyDescent="0.35">
      <c r="B387" s="1" t="str">
        <f t="shared" si="16"/>
        <v>Nomadadreisbachi</v>
      </c>
      <c r="C387" s="1" t="s">
        <v>269</v>
      </c>
      <c r="E387" t="s">
        <v>285</v>
      </c>
      <c r="L387" t="s">
        <v>904</v>
      </c>
      <c r="P387" t="str">
        <f>_xlfn.XLOOKUP("*" &amp; E387 &amp; "*",L:L,L:L, "Not Found in Ohio",2)</f>
        <v>Not Found in Ohio</v>
      </c>
      <c r="Q387" s="3"/>
      <c r="R387" s="3"/>
      <c r="S387" t="str">
        <f t="shared" ref="S387:S450" si="17">_xlfn.XLOOKUP("*"&amp;L387&amp;"*",B:B,B:B,"Not Found in Michigan",2)</f>
        <v>Not Found in Michigan</v>
      </c>
    </row>
    <row r="388" spans="2:19" x14ac:dyDescent="0.35">
      <c r="B388" s="1" t="str">
        <f t="shared" si="16"/>
        <v>Nomadaerigeronis</v>
      </c>
      <c r="C388" s="1" t="s">
        <v>269</v>
      </c>
      <c r="E388" t="s">
        <v>286</v>
      </c>
      <c r="L388" t="s">
        <v>905</v>
      </c>
      <c r="P388" t="str">
        <f>_xlfn.XLOOKUP("*" &amp; E388 &amp; "*",L:L,L:L, "Not Found in Ohio",2)</f>
        <v>Not Found in Ohio</v>
      </c>
      <c r="Q388" s="3"/>
      <c r="R388" s="3"/>
      <c r="S388" t="str">
        <f t="shared" si="17"/>
        <v>Nomadaluteoloides</v>
      </c>
    </row>
    <row r="389" spans="2:19" x14ac:dyDescent="0.35">
      <c r="B389" s="1" t="str">
        <f t="shared" si="16"/>
        <v>Nomadafervida</v>
      </c>
      <c r="C389" s="1" t="s">
        <v>269</v>
      </c>
      <c r="E389" t="s">
        <v>287</v>
      </c>
      <c r="L389" t="s">
        <v>906</v>
      </c>
      <c r="P389" t="str">
        <f>_xlfn.XLOOKUP("*" &amp; E389 &amp; "*",L:L,L:L, "Not Found in Ohio",2)</f>
        <v>Nomadafervida</v>
      </c>
      <c r="Q389" s="3"/>
      <c r="R389" s="3"/>
      <c r="S389" t="str">
        <f t="shared" si="17"/>
        <v>Nomadamaculata</v>
      </c>
    </row>
    <row r="390" spans="2:19" x14ac:dyDescent="0.35">
      <c r="B390" s="1" t="str">
        <f t="shared" si="16"/>
        <v>Nomadagracilis</v>
      </c>
      <c r="C390" s="1" t="s">
        <v>269</v>
      </c>
      <c r="E390" t="s">
        <v>288</v>
      </c>
      <c r="L390" t="s">
        <v>907</v>
      </c>
      <c r="P390" t="str">
        <f>_xlfn.XLOOKUP("*" &amp; E390 &amp; "*",L:L,L:L, "Not Found in Ohio",2)</f>
        <v>Not Found in Ohio</v>
      </c>
      <c r="Q390" s="3"/>
      <c r="R390" s="3"/>
      <c r="S390" t="str">
        <f t="shared" si="17"/>
        <v>Nomadaobliterata</v>
      </c>
    </row>
    <row r="391" spans="2:19" x14ac:dyDescent="0.35">
      <c r="B391" s="1" t="str">
        <f t="shared" si="16"/>
        <v>Nomadaillinoensis</v>
      </c>
      <c r="C391" s="1" t="s">
        <v>269</v>
      </c>
      <c r="E391" t="s">
        <v>289</v>
      </c>
      <c r="L391" t="s">
        <v>908</v>
      </c>
      <c r="P391" t="str">
        <f>_xlfn.XLOOKUP("*" &amp; E391 &amp; "*",L:L,L:L, "Not Found in Ohio",2)</f>
        <v>Nomadaillinoensis</v>
      </c>
      <c r="Q391" s="3"/>
      <c r="R391" s="3"/>
      <c r="S391" t="str">
        <f t="shared" si="17"/>
        <v>Nomadaovata</v>
      </c>
    </row>
    <row r="392" spans="2:19" x14ac:dyDescent="0.35">
      <c r="B392" s="1" t="str">
        <f t="shared" si="16"/>
        <v>Nomadaimbricata</v>
      </c>
      <c r="C392" s="1" t="s">
        <v>269</v>
      </c>
      <c r="E392" t="s">
        <v>290</v>
      </c>
      <c r="L392" t="s">
        <v>909</v>
      </c>
      <c r="P392" t="str">
        <f>_xlfn.XLOOKUP("*" &amp; E392 &amp; "*",L:L,L:L, "Not Found in Ohio",2)</f>
        <v>Nomadaimbricata</v>
      </c>
      <c r="Q392" s="3"/>
      <c r="R392" s="3"/>
      <c r="S392" t="str">
        <f t="shared" si="17"/>
        <v>Nomadaparva</v>
      </c>
    </row>
    <row r="393" spans="2:19" x14ac:dyDescent="0.35">
      <c r="B393" s="1" t="str">
        <f t="shared" si="16"/>
        <v>Nomadalehighensis</v>
      </c>
      <c r="C393" s="1" t="s">
        <v>269</v>
      </c>
      <c r="E393" t="s">
        <v>291</v>
      </c>
      <c r="L393" t="s">
        <v>910</v>
      </c>
      <c r="P393" t="str">
        <f>_xlfn.XLOOKUP("*" &amp; E393 &amp; "*",L:L,L:L, "Not Found in Ohio",2)</f>
        <v>Nomadalehighensis</v>
      </c>
      <c r="Q393" s="3"/>
      <c r="R393" s="3"/>
      <c r="S393" t="str">
        <f t="shared" si="17"/>
        <v>Nomadaperplexa</v>
      </c>
    </row>
    <row r="394" spans="2:19" x14ac:dyDescent="0.35">
      <c r="B394" s="1" t="str">
        <f t="shared" si="16"/>
        <v>Nomadalepida</v>
      </c>
      <c r="C394" s="1" t="s">
        <v>269</v>
      </c>
      <c r="E394" t="s">
        <v>292</v>
      </c>
      <c r="L394" t="s">
        <v>911</v>
      </c>
      <c r="P394" t="str">
        <f>_xlfn.XLOOKUP("*" &amp; E394 &amp; "*",L:L,L:L, "Not Found in Ohio",2)</f>
        <v>Nomadalepida</v>
      </c>
      <c r="Q394" s="3"/>
      <c r="R394" s="3"/>
      <c r="S394" t="str">
        <f t="shared" si="17"/>
        <v>Nomadaplacida</v>
      </c>
    </row>
    <row r="395" spans="2:19" x14ac:dyDescent="0.35">
      <c r="B395" s="1" t="str">
        <f t="shared" si="16"/>
        <v>Nomadaluteoloides</v>
      </c>
      <c r="C395" s="1" t="s">
        <v>269</v>
      </c>
      <c r="E395" t="s">
        <v>293</v>
      </c>
      <c r="L395" t="s">
        <v>912</v>
      </c>
      <c r="P395" t="str">
        <f>_xlfn.XLOOKUP("*" &amp; E395 &amp; "*",L:L,L:L, "Not Found in Ohio",2)</f>
        <v>Nomadaluteoloides</v>
      </c>
      <c r="Q395" s="3"/>
      <c r="R395" s="3"/>
      <c r="S395" t="str">
        <f t="shared" si="17"/>
        <v>Nomadapygmaea</v>
      </c>
    </row>
    <row r="396" spans="2:19" x14ac:dyDescent="0.35">
      <c r="B396" s="1" t="str">
        <f t="shared" si="16"/>
        <v>Nomadamaculata</v>
      </c>
      <c r="C396" s="1" t="s">
        <v>269</v>
      </c>
      <c r="E396" t="s">
        <v>294</v>
      </c>
      <c r="L396" t="s">
        <v>913</v>
      </c>
      <c r="P396" t="str">
        <f>_xlfn.XLOOKUP("*" &amp; E396 &amp; "*",L:L,L:L, "Not Found in Ohio",2)</f>
        <v>Nomadamaculata</v>
      </c>
      <c r="Q396" s="3"/>
      <c r="R396" s="3"/>
      <c r="S396" t="str">
        <f t="shared" si="17"/>
        <v>Nomadarubicunda</v>
      </c>
    </row>
    <row r="397" spans="2:19" x14ac:dyDescent="0.35">
      <c r="B397" s="1" t="str">
        <f t="shared" si="16"/>
        <v>Nomadaobliterata</v>
      </c>
      <c r="C397" s="1" t="s">
        <v>269</v>
      </c>
      <c r="E397" t="s">
        <v>295</v>
      </c>
      <c r="L397" t="s">
        <v>914</v>
      </c>
      <c r="P397" t="str">
        <f>_xlfn.XLOOKUP("*" &amp; E397 &amp; "*",L:L,L:L, "Not Found in Ohio",2)</f>
        <v>Nomadaobliterata</v>
      </c>
      <c r="Q397" s="3"/>
      <c r="R397" s="3"/>
      <c r="S397" t="str">
        <f t="shared" si="17"/>
        <v>Nomadasayi</v>
      </c>
    </row>
    <row r="398" spans="2:19" x14ac:dyDescent="0.35">
      <c r="B398" s="1" t="str">
        <f t="shared" si="16"/>
        <v>Nomadaochlerata</v>
      </c>
      <c r="C398" s="1" t="s">
        <v>269</v>
      </c>
      <c r="E398" t="s">
        <v>296</v>
      </c>
      <c r="L398" t="s">
        <v>915</v>
      </c>
      <c r="P398" t="str">
        <f>_xlfn.XLOOKUP("*" &amp; E398 &amp; "*",L:L,L:L, "Not Found in Ohio",2)</f>
        <v>Not Found in Ohio</v>
      </c>
      <c r="Q398" s="3"/>
      <c r="R398" s="3"/>
      <c r="S398" t="str">
        <f t="shared" si="17"/>
        <v>Not Found in Michigan</v>
      </c>
    </row>
    <row r="399" spans="2:19" x14ac:dyDescent="0.35">
      <c r="B399" s="1" t="str">
        <f t="shared" si="16"/>
        <v>Nomadaovata</v>
      </c>
      <c r="C399" s="1" t="s">
        <v>269</v>
      </c>
      <c r="E399" t="s">
        <v>297</v>
      </c>
      <c r="L399" t="s">
        <v>916</v>
      </c>
      <c r="P399" t="str">
        <f>_xlfn.XLOOKUP("*" &amp; E399 &amp; "*",L:L,L:L, "Not Found in Ohio",2)</f>
        <v>Nomadaovata</v>
      </c>
      <c r="Q399" s="3"/>
      <c r="R399" s="3"/>
      <c r="S399" t="str">
        <f t="shared" si="17"/>
        <v>Nomadasuperba</v>
      </c>
    </row>
    <row r="400" spans="2:19" x14ac:dyDescent="0.35">
      <c r="B400" s="1" t="str">
        <f t="shared" si="16"/>
        <v>Nomadaparva</v>
      </c>
      <c r="C400" s="1" t="s">
        <v>269</v>
      </c>
      <c r="E400" t="s">
        <v>298</v>
      </c>
      <c r="L400" t="s">
        <v>917</v>
      </c>
      <c r="P400" t="str">
        <f>_xlfn.XLOOKUP("*" &amp; E400 &amp; "*",L:L,L:L, "Not Found in Ohio",2)</f>
        <v>Nomadaparva</v>
      </c>
      <c r="Q400" s="3"/>
      <c r="R400" s="3"/>
      <c r="S400" t="str">
        <f t="shared" si="17"/>
        <v>Nomadatiftonensis</v>
      </c>
    </row>
    <row r="401" spans="2:19" x14ac:dyDescent="0.35">
      <c r="B401" s="1" t="str">
        <f t="shared" si="16"/>
        <v>Nomadaperplexa</v>
      </c>
      <c r="C401" s="1" t="s">
        <v>269</v>
      </c>
      <c r="E401" t="s">
        <v>96</v>
      </c>
      <c r="L401" t="s">
        <v>918</v>
      </c>
      <c r="P401" t="str">
        <f>_xlfn.XLOOKUP("*" &amp; E401 &amp; "*",L:L,L:L, "Not Found in Ohio",2)</f>
        <v>Andrenaperplexa</v>
      </c>
      <c r="Q401" s="3"/>
      <c r="R401" s="3"/>
      <c r="S401" t="str">
        <f t="shared" si="17"/>
        <v>Nomadavegana</v>
      </c>
    </row>
    <row r="402" spans="2:19" x14ac:dyDescent="0.35">
      <c r="B402" s="1" t="str">
        <f t="shared" ref="B402:B433" si="18">C402&amp;E402</f>
        <v>Nomadaplacida</v>
      </c>
      <c r="C402" s="1" t="s">
        <v>269</v>
      </c>
      <c r="E402" t="s">
        <v>299</v>
      </c>
      <c r="L402" t="s">
        <v>919</v>
      </c>
      <c r="P402" t="str">
        <f>_xlfn.XLOOKUP("*" &amp; E402 &amp; "*",L:L,L:L, "Not Found in Ohio",2)</f>
        <v>Nomadaplacida</v>
      </c>
      <c r="Q402" s="3"/>
      <c r="R402" s="3"/>
      <c r="S402" t="str">
        <f t="shared" si="17"/>
        <v>Nomadavicina</v>
      </c>
    </row>
    <row r="403" spans="2:19" x14ac:dyDescent="0.35">
      <c r="B403" s="1" t="str">
        <f t="shared" si="18"/>
        <v>Nomadapygmaea</v>
      </c>
      <c r="C403" s="1" t="s">
        <v>269</v>
      </c>
      <c r="E403" t="s">
        <v>300</v>
      </c>
      <c r="P403" t="str">
        <f>_xlfn.XLOOKUP("*" &amp; E403 &amp; "*",L:L,L:L, "Not Found in Ohio",2)</f>
        <v>Nomadapygmaea</v>
      </c>
      <c r="Q403" s="3"/>
      <c r="R403" s="3"/>
      <c r="S403" t="str">
        <f t="shared" si="17"/>
        <v>Genus and species</v>
      </c>
    </row>
    <row r="404" spans="2:19" x14ac:dyDescent="0.35">
      <c r="B404" s="1" t="str">
        <f t="shared" si="18"/>
        <v>Nomadaquadrimaculata</v>
      </c>
      <c r="C404" s="1" t="s">
        <v>269</v>
      </c>
      <c r="E404" t="s">
        <v>301</v>
      </c>
      <c r="P404" t="str">
        <f>_xlfn.XLOOKUP("*" &amp; E404 &amp; "*",L:L,L:L, "Not Found in Ohio",2)</f>
        <v>Not Found in Ohio</v>
      </c>
      <c r="Q404" s="3"/>
      <c r="R404" s="3"/>
      <c r="S404" t="str">
        <f t="shared" si="17"/>
        <v>Genus and species</v>
      </c>
    </row>
    <row r="405" spans="2:19" x14ac:dyDescent="0.35">
      <c r="B405" s="1" t="str">
        <f t="shared" si="18"/>
        <v>Nomadarubicunda</v>
      </c>
      <c r="C405" s="1" t="s">
        <v>269</v>
      </c>
      <c r="E405" t="s">
        <v>302</v>
      </c>
      <c r="P405" t="str">
        <f>_xlfn.XLOOKUP("*" &amp; E405 &amp; "*",L:L,L:L, "Not Found in Ohio",2)</f>
        <v>Nomadarubicunda</v>
      </c>
      <c r="Q405" s="3"/>
      <c r="R405" s="3"/>
      <c r="S405" t="str">
        <f t="shared" si="17"/>
        <v>Genus and species</v>
      </c>
    </row>
    <row r="406" spans="2:19" x14ac:dyDescent="0.35">
      <c r="B406" s="1" t="str">
        <f t="shared" si="18"/>
        <v>Nomadasayi</v>
      </c>
      <c r="C406" s="1" t="s">
        <v>269</v>
      </c>
      <c r="E406" t="s">
        <v>303</v>
      </c>
      <c r="P406" t="str">
        <f>_xlfn.XLOOKUP("*" &amp; E406 &amp; "*",L:L,L:L, "Not Found in Ohio",2)</f>
        <v>Coelioxyssayi</v>
      </c>
      <c r="Q406" s="3"/>
      <c r="R406" s="3"/>
      <c r="S406" t="str">
        <f t="shared" si="17"/>
        <v>Genus and species</v>
      </c>
    </row>
    <row r="407" spans="2:19" x14ac:dyDescent="0.35">
      <c r="B407" s="1" t="str">
        <f t="shared" si="18"/>
        <v>Nomadasobrina</v>
      </c>
      <c r="C407" s="1" t="s">
        <v>269</v>
      </c>
      <c r="E407" t="s">
        <v>304</v>
      </c>
      <c r="P407" t="str">
        <f>_xlfn.XLOOKUP("*" &amp; E407 &amp; "*",L:L,L:L, "Not Found in Ohio",2)</f>
        <v>Not Found in Ohio</v>
      </c>
      <c r="Q407" s="3"/>
      <c r="R407" s="3"/>
      <c r="S407" t="str">
        <f t="shared" si="17"/>
        <v>Genus and species</v>
      </c>
    </row>
    <row r="408" spans="2:19" x14ac:dyDescent="0.35">
      <c r="B408" s="1" t="str">
        <f t="shared" si="18"/>
        <v>Nomadasphaerogaster</v>
      </c>
      <c r="C408" s="1" t="s">
        <v>269</v>
      </c>
      <c r="E408" t="s">
        <v>305</v>
      </c>
      <c r="P408" t="str">
        <f>_xlfn.XLOOKUP("*" &amp; E408 &amp; "*",L:L,L:L, "Not Found in Ohio",2)</f>
        <v>Not Found in Ohio</v>
      </c>
      <c r="Q408" s="3"/>
      <c r="R408" s="3"/>
      <c r="S408" t="str">
        <f t="shared" si="17"/>
        <v>Genus and species</v>
      </c>
    </row>
    <row r="409" spans="2:19" x14ac:dyDescent="0.35">
      <c r="B409" s="1" t="str">
        <f t="shared" si="18"/>
        <v>Nomadasuperba</v>
      </c>
      <c r="C409" s="1" t="s">
        <v>269</v>
      </c>
      <c r="E409" t="s">
        <v>306</v>
      </c>
      <c r="P409" t="str">
        <f>_xlfn.XLOOKUP("*" &amp; E409 &amp; "*",L:L,L:L, "Not Found in Ohio",2)</f>
        <v>Nomadasuperba</v>
      </c>
      <c r="Q409" s="3"/>
      <c r="R409" s="3"/>
      <c r="S409" t="str">
        <f t="shared" si="17"/>
        <v>Genus and species</v>
      </c>
    </row>
    <row r="410" spans="2:19" x14ac:dyDescent="0.35">
      <c r="B410" s="1" t="str">
        <f t="shared" si="18"/>
        <v>Nomadatiftonensis</v>
      </c>
      <c r="C410" s="1" t="s">
        <v>269</v>
      </c>
      <c r="E410" t="s">
        <v>307</v>
      </c>
      <c r="P410" t="str">
        <f>_xlfn.XLOOKUP("*" &amp; E410 &amp; "*",L:L,L:L, "Not Found in Ohio",2)</f>
        <v>Nomadatiftonensis</v>
      </c>
      <c r="Q410" s="3"/>
      <c r="R410" s="3"/>
      <c r="S410" t="str">
        <f t="shared" si="17"/>
        <v>Genus and species</v>
      </c>
    </row>
    <row r="411" spans="2:19" x14ac:dyDescent="0.35">
      <c r="B411" s="1" t="str">
        <f t="shared" si="18"/>
        <v>Nomadavegana</v>
      </c>
      <c r="C411" s="1" t="s">
        <v>269</v>
      </c>
      <c r="E411" t="s">
        <v>308</v>
      </c>
      <c r="P411" t="str">
        <f>_xlfn.XLOOKUP("*" &amp; E411 &amp; "*",L:L,L:L, "Not Found in Ohio",2)</f>
        <v>Nomadavegana</v>
      </c>
      <c r="Q411" s="3"/>
      <c r="R411" s="3"/>
      <c r="S411" t="str">
        <f t="shared" si="17"/>
        <v>Genus and species</v>
      </c>
    </row>
    <row r="412" spans="2:19" x14ac:dyDescent="0.35">
      <c r="B412" s="1" t="str">
        <f t="shared" si="18"/>
        <v>Nomadavicina</v>
      </c>
      <c r="C412" s="2" t="s">
        <v>269</v>
      </c>
      <c r="E412" t="s">
        <v>153</v>
      </c>
      <c r="P412" t="str">
        <f>_xlfn.XLOOKUP("*" &amp; E412 &amp; "*",L:L,L:L, "Not Found in Ohio",2)</f>
        <v>Andrenavicina</v>
      </c>
      <c r="Q412" s="3"/>
      <c r="R412" s="3"/>
      <c r="S412" t="str">
        <f t="shared" si="17"/>
        <v>Genus and species</v>
      </c>
    </row>
    <row r="413" spans="2:19" x14ac:dyDescent="0.35">
      <c r="B413" s="1" t="str">
        <f t="shared" si="18"/>
        <v>Nomadavincta</v>
      </c>
      <c r="C413" s="1" t="s">
        <v>269</v>
      </c>
      <c r="E413" t="s">
        <v>309</v>
      </c>
      <c r="P413" t="str">
        <f>_xlfn.XLOOKUP("*" &amp; E413 &amp; "*",L:L,L:L, "Not Found in Ohio",2)</f>
        <v>Not Found in Ohio</v>
      </c>
      <c r="Q413" s="3"/>
      <c r="R413" s="3"/>
      <c r="S413" t="str">
        <f t="shared" si="17"/>
        <v>Genus and species</v>
      </c>
    </row>
    <row r="414" spans="2:19" x14ac:dyDescent="0.35">
      <c r="B414" s="1" t="str">
        <f t="shared" si="18"/>
        <v>Osmiasubaustralis</v>
      </c>
      <c r="C414" t="s">
        <v>586</v>
      </c>
      <c r="D414" t="s">
        <v>587</v>
      </c>
      <c r="E414" t="s">
        <v>588</v>
      </c>
      <c r="L414" t="s">
        <v>920</v>
      </c>
      <c r="P414" t="str">
        <f>_xlfn.XLOOKUP("*" &amp; E414 &amp; "*",L:L,L:L, "Not Found in Ohio",2)</f>
        <v>Not Found in Ohio</v>
      </c>
      <c r="Q414" s="3"/>
      <c r="R414" s="3"/>
      <c r="S414" t="str">
        <f t="shared" si="17"/>
        <v>Osmiaalbiventris</v>
      </c>
    </row>
    <row r="415" spans="2:19" x14ac:dyDescent="0.35">
      <c r="B415" s="1" t="str">
        <f t="shared" si="18"/>
        <v>Osmiaconjuncta</v>
      </c>
      <c r="C415" t="s">
        <v>586</v>
      </c>
      <c r="D415" t="s">
        <v>589</v>
      </c>
      <c r="E415" t="s">
        <v>590</v>
      </c>
      <c r="L415" t="s">
        <v>921</v>
      </c>
      <c r="P415" t="str">
        <f>_xlfn.XLOOKUP("*" &amp; E415 &amp; "*",L:L,L:L, "Not Found in Ohio",2)</f>
        <v>Osmiaconjuncta</v>
      </c>
      <c r="Q415" s="3"/>
      <c r="R415" s="3"/>
      <c r="S415" t="str">
        <f t="shared" si="17"/>
        <v>Osmiaatriventris</v>
      </c>
    </row>
    <row r="416" spans="2:19" x14ac:dyDescent="0.35">
      <c r="B416" s="1" t="str">
        <f t="shared" si="18"/>
        <v>Osmiacaerulescens</v>
      </c>
      <c r="C416" t="s">
        <v>586</v>
      </c>
      <c r="D416" t="s">
        <v>591</v>
      </c>
      <c r="E416" t="s">
        <v>592</v>
      </c>
      <c r="L416" t="s">
        <v>922</v>
      </c>
      <c r="P416" t="str">
        <f>_xlfn.XLOOKUP("*" &amp; E416 &amp; "*",L:L,L:L, "Not Found in Ohio",2)</f>
        <v>Osmiacaerulescens</v>
      </c>
      <c r="Q416" s="3"/>
      <c r="R416" s="3"/>
      <c r="S416" t="str">
        <f t="shared" si="17"/>
        <v>Osmiabucephala</v>
      </c>
    </row>
    <row r="417" spans="2:19" x14ac:dyDescent="0.35">
      <c r="B417" s="1" t="str">
        <f t="shared" si="18"/>
        <v>Osmiageorgica</v>
      </c>
      <c r="C417" t="s">
        <v>586</v>
      </c>
      <c r="D417" t="s">
        <v>591</v>
      </c>
      <c r="E417" t="s">
        <v>593</v>
      </c>
      <c r="L417" t="s">
        <v>923</v>
      </c>
      <c r="P417" t="str">
        <f>_xlfn.XLOOKUP("*" &amp; E417 &amp; "*",L:L,L:L, "Not Found in Ohio",2)</f>
        <v>Osmiageorgica</v>
      </c>
      <c r="Q417" s="3"/>
      <c r="R417" s="3"/>
      <c r="S417" t="str">
        <f t="shared" si="17"/>
        <v>Osmiacaerulescens</v>
      </c>
    </row>
    <row r="418" spans="2:19" x14ac:dyDescent="0.35">
      <c r="B418" s="1" t="str">
        <f t="shared" si="18"/>
        <v>Osmiatexana</v>
      </c>
      <c r="C418" t="s">
        <v>586</v>
      </c>
      <c r="D418" t="s">
        <v>591</v>
      </c>
      <c r="E418" t="s">
        <v>548</v>
      </c>
      <c r="L418" t="s">
        <v>924</v>
      </c>
      <c r="P418" t="str">
        <f>_xlfn.XLOOKUP("*" &amp; E418 &amp; "*",L:L,L:L, "Not Found in Ohio",2)</f>
        <v>Megachiletexana</v>
      </c>
      <c r="Q418" s="3"/>
      <c r="R418" s="3"/>
      <c r="S418" t="str">
        <f t="shared" si="17"/>
        <v>Osmiaconjuncta</v>
      </c>
    </row>
    <row r="419" spans="2:19" x14ac:dyDescent="0.35">
      <c r="B419" s="1" t="str">
        <f t="shared" si="18"/>
        <v>Osmiaalbiventris</v>
      </c>
      <c r="C419" t="s">
        <v>586</v>
      </c>
      <c r="D419" t="s">
        <v>594</v>
      </c>
      <c r="E419" t="s">
        <v>595</v>
      </c>
      <c r="L419" t="s">
        <v>925</v>
      </c>
      <c r="P419" t="str">
        <f>_xlfn.XLOOKUP("*" &amp; E419 &amp; "*",L:L,L:L, "Not Found in Ohio",2)</f>
        <v>Osmiaalbiventris</v>
      </c>
      <c r="Q419" s="3"/>
      <c r="R419" s="3"/>
      <c r="S419" t="str">
        <f t="shared" si="17"/>
        <v>Not Found in Michigan</v>
      </c>
    </row>
    <row r="420" spans="2:19" x14ac:dyDescent="0.35">
      <c r="B420" s="1" t="str">
        <f t="shared" si="18"/>
        <v>Osmiaatriventris</v>
      </c>
      <c r="C420" t="s">
        <v>586</v>
      </c>
      <c r="D420" t="s">
        <v>594</v>
      </c>
      <c r="E420" t="s">
        <v>219</v>
      </c>
      <c r="L420" t="s">
        <v>926</v>
      </c>
      <c r="P420" t="str">
        <f>_xlfn.XLOOKUP("*" &amp; E420 &amp; "*",L:L,L:L, "Not Found in Ohio",2)</f>
        <v>Euceraatriventris</v>
      </c>
      <c r="Q420" s="3"/>
      <c r="R420" s="3"/>
      <c r="S420" t="str">
        <f t="shared" si="17"/>
        <v>Osmiacornifrons</v>
      </c>
    </row>
    <row r="421" spans="2:19" x14ac:dyDescent="0.35">
      <c r="B421" s="1" t="str">
        <f t="shared" si="18"/>
        <v>Osmiabucephala</v>
      </c>
      <c r="C421" t="s">
        <v>586</v>
      </c>
      <c r="D421" t="s">
        <v>594</v>
      </c>
      <c r="E421" t="s">
        <v>596</v>
      </c>
      <c r="L421" t="s">
        <v>927</v>
      </c>
      <c r="P421" t="str">
        <f>_xlfn.XLOOKUP("*" &amp; E421 &amp; "*",L:L,L:L, "Not Found in Ohio",2)</f>
        <v>Osmiabucephala</v>
      </c>
      <c r="Q421" s="3"/>
      <c r="R421" s="3"/>
      <c r="S421" t="str">
        <f t="shared" si="17"/>
        <v>Osmiadistincta</v>
      </c>
    </row>
    <row r="422" spans="2:19" x14ac:dyDescent="0.35">
      <c r="B422" s="1" t="str">
        <f t="shared" si="18"/>
        <v>Osmiacollinsiae</v>
      </c>
      <c r="C422" t="s">
        <v>586</v>
      </c>
      <c r="D422" t="s">
        <v>594</v>
      </c>
      <c r="E422" t="s">
        <v>597</v>
      </c>
      <c r="L422" t="s">
        <v>928</v>
      </c>
      <c r="P422" t="str">
        <f>_xlfn.XLOOKUP("*" &amp; E422 &amp; "*",L:L,L:L, "Not Found in Ohio",2)</f>
        <v>Not Found in Ohio</v>
      </c>
      <c r="Q422" s="3"/>
      <c r="R422" s="3"/>
      <c r="S422" t="str">
        <f t="shared" si="17"/>
        <v>Osmiageorgica</v>
      </c>
    </row>
    <row r="423" spans="2:19" x14ac:dyDescent="0.35">
      <c r="B423" s="1" t="str">
        <f t="shared" si="18"/>
        <v>Osmiadistincta</v>
      </c>
      <c r="C423" t="s">
        <v>586</v>
      </c>
      <c r="D423" t="s">
        <v>594</v>
      </c>
      <c r="E423" t="s">
        <v>598</v>
      </c>
      <c r="L423" t="s">
        <v>929</v>
      </c>
      <c r="P423" t="str">
        <f>_xlfn.XLOOKUP("*" &amp; E423 &amp; "*",L:L,L:L, "Not Found in Ohio",2)</f>
        <v>Osmiadistincta</v>
      </c>
      <c r="Q423" s="3"/>
      <c r="R423" s="3"/>
      <c r="S423" t="str">
        <f t="shared" si="17"/>
        <v>Osmiainspergens</v>
      </c>
    </row>
    <row r="424" spans="2:19" x14ac:dyDescent="0.35">
      <c r="B424" s="1" t="str">
        <f t="shared" si="18"/>
        <v>Osmiafelti</v>
      </c>
      <c r="C424" t="s">
        <v>586</v>
      </c>
      <c r="D424" t="s">
        <v>594</v>
      </c>
      <c r="E424" t="s">
        <v>599</v>
      </c>
      <c r="L424" t="s">
        <v>930</v>
      </c>
      <c r="P424" t="str">
        <f>_xlfn.XLOOKUP("*" &amp; E424 &amp; "*",L:L,L:L, "Not Found in Ohio",2)</f>
        <v>Not Found in Ohio</v>
      </c>
      <c r="Q424" s="3"/>
      <c r="R424" s="3"/>
      <c r="S424" t="str">
        <f t="shared" si="17"/>
        <v>Osmialignaria</v>
      </c>
    </row>
    <row r="425" spans="2:19" x14ac:dyDescent="0.35">
      <c r="B425" s="1" t="str">
        <f t="shared" si="18"/>
        <v>Osmiainermis</v>
      </c>
      <c r="C425" t="s">
        <v>586</v>
      </c>
      <c r="D425" t="s">
        <v>594</v>
      </c>
      <c r="E425" t="s">
        <v>551</v>
      </c>
      <c r="L425" t="s">
        <v>931</v>
      </c>
      <c r="P425" t="str">
        <f>_xlfn.XLOOKUP("*" &amp; E425 &amp; "*",L:L,L:L, "Not Found in Ohio",2)</f>
        <v>Not Found in Ohio</v>
      </c>
      <c r="Q425" s="3"/>
      <c r="R425" s="3"/>
      <c r="S425" t="str">
        <f t="shared" si="17"/>
        <v>Osmiapumila</v>
      </c>
    </row>
    <row r="426" spans="2:19" x14ac:dyDescent="0.35">
      <c r="B426" s="1" t="str">
        <f t="shared" si="18"/>
        <v>Osmiainspergens</v>
      </c>
      <c r="C426" t="s">
        <v>586</v>
      </c>
      <c r="D426" t="s">
        <v>594</v>
      </c>
      <c r="E426" t="s">
        <v>600</v>
      </c>
      <c r="L426" t="s">
        <v>932</v>
      </c>
      <c r="P426" t="str">
        <f>_xlfn.XLOOKUP("*" &amp; E426 &amp; "*",L:L,L:L, "Not Found in Ohio",2)</f>
        <v>Osmiainspergens</v>
      </c>
      <c r="Q426" s="3"/>
      <c r="R426" s="3"/>
      <c r="S426" t="str">
        <f t="shared" si="17"/>
        <v>Osmiasimillima</v>
      </c>
    </row>
    <row r="427" spans="2:19" x14ac:dyDescent="0.35">
      <c r="B427" s="1" t="str">
        <f t="shared" si="18"/>
        <v>Osmialaticeps</v>
      </c>
      <c r="C427" t="s">
        <v>586</v>
      </c>
      <c r="D427" t="s">
        <v>594</v>
      </c>
      <c r="E427" t="s">
        <v>601</v>
      </c>
      <c r="L427" t="s">
        <v>933</v>
      </c>
      <c r="P427" t="str">
        <f>_xlfn.XLOOKUP("*" &amp; E427 &amp; "*",L:L,L:L, "Not Found in Ohio",2)</f>
        <v>Not Found in Ohio</v>
      </c>
      <c r="Q427" s="3"/>
      <c r="R427" s="3"/>
      <c r="S427" t="str">
        <f t="shared" si="17"/>
        <v>Not Found in Michigan</v>
      </c>
    </row>
    <row r="428" spans="2:19" x14ac:dyDescent="0.35">
      <c r="B428" s="1" t="str">
        <f t="shared" si="18"/>
        <v>Osmianigriventris</v>
      </c>
      <c r="C428" t="s">
        <v>586</v>
      </c>
      <c r="D428" t="s">
        <v>594</v>
      </c>
      <c r="E428" t="s">
        <v>602</v>
      </c>
      <c r="L428" t="s">
        <v>934</v>
      </c>
      <c r="P428" t="str">
        <f>_xlfn.XLOOKUP("*" &amp; E428 &amp; "*",L:L,L:L, "Not Found in Ohio",2)</f>
        <v>Not Found in Ohio</v>
      </c>
      <c r="Q428" s="3"/>
      <c r="R428" s="3"/>
      <c r="S428" t="str">
        <f t="shared" si="17"/>
        <v>Osmiataurus</v>
      </c>
    </row>
    <row r="429" spans="2:19" x14ac:dyDescent="0.35">
      <c r="B429" s="1" t="str">
        <f t="shared" si="18"/>
        <v>Osmiaproxima</v>
      </c>
      <c r="C429" t="s">
        <v>586</v>
      </c>
      <c r="D429" t="s">
        <v>594</v>
      </c>
      <c r="E429" t="s">
        <v>603</v>
      </c>
      <c r="L429" t="s">
        <v>935</v>
      </c>
      <c r="P429" t="str">
        <f>_xlfn.XLOOKUP("*" &amp; E429 &amp; "*",L:L,L:L, "Not Found in Ohio",2)</f>
        <v>Not Found in Ohio</v>
      </c>
      <c r="Q429" s="3"/>
      <c r="R429" s="3"/>
      <c r="S429" t="str">
        <f t="shared" si="17"/>
        <v>Osmiatexana</v>
      </c>
    </row>
    <row r="430" spans="2:19" x14ac:dyDescent="0.35">
      <c r="B430" s="1" t="str">
        <f t="shared" si="18"/>
        <v>Osmiapumila</v>
      </c>
      <c r="C430" t="s">
        <v>586</v>
      </c>
      <c r="D430" t="s">
        <v>594</v>
      </c>
      <c r="E430" t="s">
        <v>604</v>
      </c>
      <c r="P430" t="str">
        <f>_xlfn.XLOOKUP("*" &amp; E430 &amp; "*",L:L,L:L, "Not Found in Ohio",2)</f>
        <v>Osmiapumila</v>
      </c>
      <c r="Q430" s="3"/>
      <c r="R430" s="3"/>
      <c r="S430" t="str">
        <f t="shared" si="17"/>
        <v>Genus and species</v>
      </c>
    </row>
    <row r="431" spans="2:19" x14ac:dyDescent="0.35">
      <c r="B431" s="1" t="str">
        <f t="shared" si="18"/>
        <v>Osmiasimillima</v>
      </c>
      <c r="C431" t="s">
        <v>586</v>
      </c>
      <c r="D431" t="s">
        <v>594</v>
      </c>
      <c r="E431" t="s">
        <v>605</v>
      </c>
      <c r="P431" t="str">
        <f>_xlfn.XLOOKUP("*" &amp; E431 &amp; "*",L:L,L:L, "Not Found in Ohio",2)</f>
        <v>Osmiasimillima</v>
      </c>
      <c r="Q431" s="3"/>
      <c r="R431" s="3"/>
      <c r="S431" t="str">
        <f t="shared" si="17"/>
        <v>Genus and species</v>
      </c>
    </row>
    <row r="432" spans="2:19" x14ac:dyDescent="0.35">
      <c r="B432" s="1" t="str">
        <f t="shared" si="18"/>
        <v>Osmiasubarctica</v>
      </c>
      <c r="C432" t="s">
        <v>586</v>
      </c>
      <c r="D432" t="s">
        <v>594</v>
      </c>
      <c r="E432" t="s">
        <v>606</v>
      </c>
      <c r="P432" t="str">
        <f>_xlfn.XLOOKUP("*" &amp; E432 &amp; "*",L:L,L:L, "Not Found in Ohio",2)</f>
        <v>Not Found in Ohio</v>
      </c>
      <c r="Q432" s="3"/>
      <c r="R432" s="3"/>
      <c r="S432" t="str">
        <f t="shared" si="17"/>
        <v>Genus and species</v>
      </c>
    </row>
    <row r="433" spans="1:19" x14ac:dyDescent="0.35">
      <c r="B433" s="1" t="str">
        <f t="shared" si="18"/>
        <v>Osmiatarsata</v>
      </c>
      <c r="C433" t="s">
        <v>586</v>
      </c>
      <c r="D433" t="s">
        <v>594</v>
      </c>
      <c r="E433" t="s">
        <v>607</v>
      </c>
      <c r="P433" t="str">
        <f>_xlfn.XLOOKUP("*" &amp; E433 &amp; "*",L:L,L:L, "Not Found in Ohio",2)</f>
        <v>Not Found in Ohio</v>
      </c>
      <c r="Q433" s="3"/>
      <c r="R433" s="3"/>
      <c r="S433" t="str">
        <f t="shared" si="17"/>
        <v>Genus and species</v>
      </c>
    </row>
    <row r="434" spans="1:19" x14ac:dyDescent="0.35">
      <c r="B434" s="1" t="str">
        <f t="shared" ref="B434:B465" si="19">C434&amp;E434</f>
        <v>Osmiatersula</v>
      </c>
      <c r="C434" t="s">
        <v>586</v>
      </c>
      <c r="D434" t="s">
        <v>594</v>
      </c>
      <c r="E434" t="s">
        <v>608</v>
      </c>
      <c r="P434" t="str">
        <f>_xlfn.XLOOKUP("*" &amp; E434 &amp; "*",L:L,L:L, "Not Found in Ohio",2)</f>
        <v>Not Found in Ohio</v>
      </c>
      <c r="Q434" s="3"/>
      <c r="R434" s="3"/>
      <c r="S434" t="str">
        <f t="shared" si="17"/>
        <v>Genus and species</v>
      </c>
    </row>
    <row r="435" spans="1:19" x14ac:dyDescent="0.35">
      <c r="B435" s="1" t="str">
        <f t="shared" si="19"/>
        <v>Osmiaaff.</v>
      </c>
      <c r="C435" t="s">
        <v>586</v>
      </c>
      <c r="D435" t="s">
        <v>594</v>
      </c>
      <c r="E435" t="s">
        <v>609</v>
      </c>
      <c r="P435" t="str">
        <f>_xlfn.XLOOKUP("*" &amp; E435 &amp; "*",L:L,L:L, "Not Found in Ohio",2)</f>
        <v>Not Found in Ohio</v>
      </c>
      <c r="Q435" s="3"/>
      <c r="R435" s="3"/>
      <c r="S435" t="str">
        <f t="shared" si="17"/>
        <v>Genus and species</v>
      </c>
    </row>
    <row r="436" spans="1:19" x14ac:dyDescent="0.35">
      <c r="B436" s="1" t="str">
        <f t="shared" si="19"/>
        <v>Osmiavirga</v>
      </c>
      <c r="C436" t="s">
        <v>586</v>
      </c>
      <c r="D436" t="s">
        <v>594</v>
      </c>
      <c r="E436" t="s">
        <v>610</v>
      </c>
      <c r="P436" t="str">
        <f>_xlfn.XLOOKUP("*" &amp; E436 &amp; "*",L:L,L:L, "Not Found in Ohio",2)</f>
        <v>Not Found in Ohio</v>
      </c>
      <c r="Q436" s="3"/>
      <c r="R436" s="3"/>
      <c r="S436" t="str">
        <f t="shared" si="17"/>
        <v>Genus and species</v>
      </c>
    </row>
    <row r="437" spans="1:19" x14ac:dyDescent="0.35">
      <c r="B437" s="1" t="str">
        <f t="shared" si="19"/>
        <v>Osmiacornifrons</v>
      </c>
      <c r="C437" t="s">
        <v>586</v>
      </c>
      <c r="D437" t="s">
        <v>611</v>
      </c>
      <c r="E437" t="s">
        <v>612</v>
      </c>
      <c r="P437" t="str">
        <f>_xlfn.XLOOKUP("*" &amp; E437 &amp; "*",L:L,L:L, "Not Found in Ohio",2)</f>
        <v>Osmiacornifrons</v>
      </c>
      <c r="Q437" s="3"/>
      <c r="R437" s="3"/>
      <c r="S437" t="str">
        <f t="shared" si="17"/>
        <v>Genus and species</v>
      </c>
    </row>
    <row r="438" spans="1:19" x14ac:dyDescent="0.35">
      <c r="B438" s="1" t="str">
        <f t="shared" si="19"/>
        <v>Osmialignaria</v>
      </c>
      <c r="C438" t="s">
        <v>586</v>
      </c>
      <c r="D438" t="s">
        <v>611</v>
      </c>
      <c r="E438" t="s">
        <v>613</v>
      </c>
      <c r="P438" t="str">
        <f>_xlfn.XLOOKUP("*" &amp; E438 &amp; "*",L:L,L:L, "Not Found in Ohio",2)</f>
        <v>Osmialignaria</v>
      </c>
      <c r="Q438" s="3"/>
      <c r="R438" s="3"/>
      <c r="S438" t="str">
        <f t="shared" si="17"/>
        <v>Genus and species</v>
      </c>
    </row>
    <row r="439" spans="1:19" x14ac:dyDescent="0.35">
      <c r="B439" s="1" t="str">
        <f t="shared" si="19"/>
        <v>Osmiataurus</v>
      </c>
      <c r="C439" t="s">
        <v>586</v>
      </c>
      <c r="D439" t="s">
        <v>611</v>
      </c>
      <c r="E439" t="s">
        <v>614</v>
      </c>
      <c r="F439" t="s">
        <v>613</v>
      </c>
      <c r="P439" t="str">
        <f>_xlfn.XLOOKUP("*" &amp; E439 &amp; "*",L:L,L:L, "Not Found in Ohio",2)</f>
        <v>Osmiataurus</v>
      </c>
      <c r="Q439" s="3"/>
      <c r="R439" s="3"/>
      <c r="S439" t="str">
        <f t="shared" si="17"/>
        <v>Genus and species</v>
      </c>
    </row>
    <row r="440" spans="1:19" x14ac:dyDescent="0.35">
      <c r="P440" t="str">
        <f>_xlfn.XLOOKUP("*" &amp; E440 &amp; "*",L:L,L:L, "Not Found in Ohio",2)</f>
        <v>Ohio Regional Species pool</v>
      </c>
      <c r="Q440" s="3"/>
      <c r="R440" s="3"/>
      <c r="S440" t="str">
        <f t="shared" si="17"/>
        <v>Genus and species</v>
      </c>
    </row>
    <row r="441" spans="1:19" x14ac:dyDescent="0.35">
      <c r="L441" t="s">
        <v>936</v>
      </c>
      <c r="P441" t="str">
        <f>_xlfn.XLOOKUP("*" &amp; E441 &amp; "*",L:L,L:L, "Not Found in Ohio",2)</f>
        <v>Ohio Regional Species pool</v>
      </c>
      <c r="Q441" s="3"/>
      <c r="R441" s="3"/>
      <c r="S441" t="str">
        <f t="shared" si="17"/>
        <v>Not Found in Michigan</v>
      </c>
    </row>
    <row r="442" spans="1:19" x14ac:dyDescent="0.35">
      <c r="B442" s="1" t="str">
        <f t="shared" ref="B442:B451" si="20">C442&amp;E442</f>
        <v>Peponapispruinosa</v>
      </c>
      <c r="C442" s="1" t="s">
        <v>243</v>
      </c>
      <c r="D442" t="s">
        <v>244</v>
      </c>
      <c r="E442" t="s">
        <v>245</v>
      </c>
      <c r="L442" t="s">
        <v>937</v>
      </c>
      <c r="P442" t="str">
        <f>_xlfn.XLOOKUP("*" &amp; E442 &amp; "*",L:L,L:L, "Not Found in Ohio",2)</f>
        <v>Peponapispruinosa</v>
      </c>
      <c r="Q442" s="3"/>
      <c r="R442" s="3"/>
      <c r="S442" t="str">
        <f t="shared" si="17"/>
        <v>Peponapispruinosa</v>
      </c>
    </row>
    <row r="443" spans="1:19" x14ac:dyDescent="0.35">
      <c r="A443" s="1" t="s">
        <v>84</v>
      </c>
      <c r="B443" s="1" t="str">
        <f t="shared" si="20"/>
        <v>Perditaalbipennis</v>
      </c>
      <c r="C443" s="2" t="s">
        <v>102</v>
      </c>
      <c r="D443" t="s">
        <v>103</v>
      </c>
      <c r="E443" t="s">
        <v>104</v>
      </c>
      <c r="F443" t="s">
        <v>105</v>
      </c>
      <c r="L443" t="s">
        <v>938</v>
      </c>
      <c r="P443" t="str">
        <f>_xlfn.XLOOKUP("*" &amp; E443 &amp; "*",L:L,L:L, "Not Found in Ohio",2)</f>
        <v>Not Found in Ohio</v>
      </c>
      <c r="Q443" s="3"/>
      <c r="R443" s="3"/>
      <c r="S443" t="str">
        <f t="shared" si="17"/>
        <v>Perditamaculigera</v>
      </c>
    </row>
    <row r="444" spans="1:19" x14ac:dyDescent="0.35">
      <c r="B444" s="1" t="str">
        <f t="shared" si="20"/>
        <v>Perditabequaerti</v>
      </c>
      <c r="C444" s="1" t="s">
        <v>102</v>
      </c>
      <c r="D444" t="s">
        <v>103</v>
      </c>
      <c r="E444" t="s">
        <v>106</v>
      </c>
      <c r="F444" t="s">
        <v>107</v>
      </c>
      <c r="L444" t="s">
        <v>939</v>
      </c>
      <c r="P444" t="str">
        <f>_xlfn.XLOOKUP("*" &amp; E444 &amp; "*",L:L,L:L, "Not Found in Ohio",2)</f>
        <v>Not Found in Ohio</v>
      </c>
      <c r="Q444" s="3"/>
      <c r="R444" s="3"/>
      <c r="S444" t="str">
        <f t="shared" si="17"/>
        <v>Perditaoctomaculata</v>
      </c>
    </row>
    <row r="445" spans="1:19" x14ac:dyDescent="0.35">
      <c r="B445" s="1" t="str">
        <f t="shared" si="20"/>
        <v>Perditagerhardi</v>
      </c>
      <c r="C445" s="1" t="s">
        <v>102</v>
      </c>
      <c r="D445" t="s">
        <v>108</v>
      </c>
      <c r="E445" t="s">
        <v>109</v>
      </c>
      <c r="F445" t="s">
        <v>109</v>
      </c>
      <c r="P445" t="str">
        <f>_xlfn.XLOOKUP("*" &amp; E445 &amp; "*",L:L,L:L, "Not Found in Ohio",2)</f>
        <v>Not Found in Ohio</v>
      </c>
      <c r="Q445" s="3"/>
      <c r="R445" s="3"/>
      <c r="S445" t="str">
        <f t="shared" si="17"/>
        <v>Genus and species</v>
      </c>
    </row>
    <row r="446" spans="1:19" x14ac:dyDescent="0.35">
      <c r="B446" s="1" t="str">
        <f t="shared" si="20"/>
        <v>Perditahalictoides</v>
      </c>
      <c r="C446" s="1" t="s">
        <v>102</v>
      </c>
      <c r="D446" t="s">
        <v>108</v>
      </c>
      <c r="E446" t="s">
        <v>110</v>
      </c>
      <c r="P446" t="str">
        <f>_xlfn.XLOOKUP("*" &amp; E446 &amp; "*",L:L,L:L, "Not Found in Ohio",2)</f>
        <v>Not Found in Ohio</v>
      </c>
      <c r="Q446" s="3"/>
      <c r="R446" s="3"/>
      <c r="S446" t="str">
        <f t="shared" si="17"/>
        <v>Genus and species</v>
      </c>
    </row>
    <row r="447" spans="1:19" x14ac:dyDescent="0.35">
      <c r="B447" s="1" t="str">
        <f t="shared" si="20"/>
        <v>Perditamaculigera</v>
      </c>
      <c r="C447" s="1" t="s">
        <v>102</v>
      </c>
      <c r="D447" t="s">
        <v>108</v>
      </c>
      <c r="E447" t="s">
        <v>111</v>
      </c>
      <c r="F447" t="s">
        <v>112</v>
      </c>
      <c r="K447" s="1"/>
      <c r="P447" t="str">
        <f>_xlfn.XLOOKUP("*" &amp; E447 &amp; "*",L:L,L:L, "Not Found in Ohio",2)</f>
        <v>Perditamaculigera</v>
      </c>
      <c r="Q447" s="3"/>
      <c r="R447" s="3"/>
      <c r="S447" t="str">
        <f t="shared" si="17"/>
        <v>Genus and species</v>
      </c>
    </row>
    <row r="448" spans="1:19" x14ac:dyDescent="0.35">
      <c r="B448" s="1" t="str">
        <f t="shared" si="20"/>
        <v>Perditaoctomaculata</v>
      </c>
      <c r="C448" s="1" t="s">
        <v>102</v>
      </c>
      <c r="D448" t="s">
        <v>108</v>
      </c>
      <c r="E448" t="s">
        <v>85</v>
      </c>
      <c r="F448" s="1" t="s">
        <v>85</v>
      </c>
      <c r="G448" s="1"/>
      <c r="P448" t="str">
        <f>_xlfn.XLOOKUP("*" &amp; E448 &amp; "*",L:L,L:L, "Not Found in Ohio",2)</f>
        <v>Perditaoctomaculata</v>
      </c>
      <c r="Q448" s="3"/>
      <c r="R448" s="3"/>
      <c r="S448" t="str">
        <f t="shared" si="17"/>
        <v>Genus and species</v>
      </c>
    </row>
    <row r="449" spans="1:19" x14ac:dyDescent="0.35">
      <c r="B449" s="1" t="str">
        <f t="shared" si="20"/>
        <v>Perditaswenki</v>
      </c>
      <c r="C449" s="1" t="s">
        <v>102</v>
      </c>
      <c r="D449" t="s">
        <v>108</v>
      </c>
      <c r="E449" t="s">
        <v>113</v>
      </c>
      <c r="P449" t="str">
        <f>_xlfn.XLOOKUP("*" &amp; E449 &amp; "*",L:L,L:L, "Not Found in Ohio",2)</f>
        <v>Not Found in Ohio</v>
      </c>
      <c r="Q449" s="3"/>
      <c r="R449" s="3"/>
      <c r="S449" t="str">
        <f t="shared" si="17"/>
        <v>Genus and species</v>
      </c>
    </row>
    <row r="450" spans="1:19" x14ac:dyDescent="0.35">
      <c r="A450" s="1" t="s">
        <v>86</v>
      </c>
      <c r="B450" s="1" t="str">
        <f t="shared" si="20"/>
        <v>Protandrenabancrofti</v>
      </c>
      <c r="C450" s="1" t="s">
        <v>114</v>
      </c>
      <c r="E450" t="s">
        <v>115</v>
      </c>
      <c r="P450" t="str">
        <f>_xlfn.XLOOKUP("*" &amp; E450 &amp; "*",L:L,L:L, "Not Found in Ohio",2)</f>
        <v>Not Found in Ohio</v>
      </c>
      <c r="Q450" s="3"/>
      <c r="R450" s="3"/>
      <c r="S450" t="str">
        <f t="shared" si="17"/>
        <v>Genus and species</v>
      </c>
    </row>
    <row r="451" spans="1:19" x14ac:dyDescent="0.35">
      <c r="B451" s="1" t="str">
        <f t="shared" si="20"/>
        <v>Protandrenacockerelli</v>
      </c>
      <c r="C451" s="1" t="s">
        <v>114</v>
      </c>
      <c r="E451" t="s">
        <v>116</v>
      </c>
      <c r="K451" s="1"/>
      <c r="P451" t="str">
        <f>_xlfn.XLOOKUP("*" &amp; E451 &amp; "*",L:L,L:L, "Not Found in Ohio",2)</f>
        <v>Not Found in Ohio</v>
      </c>
      <c r="Q451" s="3"/>
      <c r="R451" s="3"/>
      <c r="S451" t="str">
        <f t="shared" ref="S451:S506" si="21">_xlfn.XLOOKUP("*"&amp;L451&amp;"*",B:B,B:B,"Not Found in Michigan",2)</f>
        <v>Genus and species</v>
      </c>
    </row>
    <row r="452" spans="1:19" x14ac:dyDescent="0.35">
      <c r="L452" t="s">
        <v>940</v>
      </c>
      <c r="P452" t="str">
        <f>_xlfn.XLOOKUP("*" &amp; E452 &amp; "*",L:L,L:L, "Not Found in Ohio",2)</f>
        <v>Ohio Regional Species pool</v>
      </c>
      <c r="Q452" s="3"/>
      <c r="R452" s="3"/>
      <c r="S452" t="str">
        <f t="shared" si="21"/>
        <v>Not Found in Michigan</v>
      </c>
    </row>
    <row r="453" spans="1:19" x14ac:dyDescent="0.35">
      <c r="B453" s="1" t="str">
        <f t="shared" ref="B453:B458" si="22">C453&amp;E453</f>
        <v>Pseudopanurgusaestivalis</v>
      </c>
      <c r="C453" s="1" t="s">
        <v>117</v>
      </c>
      <c r="D453" t="s">
        <v>118</v>
      </c>
      <c r="E453" t="s">
        <v>118</v>
      </c>
      <c r="L453" t="s">
        <v>941</v>
      </c>
      <c r="P453" t="str">
        <f>_xlfn.XLOOKUP("*" &amp; E453 &amp; "*",L:L,L:L, "Not Found in Ohio",2)</f>
        <v>Colletesaestivalis</v>
      </c>
      <c r="Q453" s="3"/>
      <c r="R453" s="3"/>
      <c r="S453" t="str">
        <f t="shared" si="21"/>
        <v>Pseudopanurgusaestivalis</v>
      </c>
    </row>
    <row r="454" spans="1:19" x14ac:dyDescent="0.35">
      <c r="B454" s="1" t="str">
        <f t="shared" si="22"/>
        <v>Pseudopanurgusalbitarsis</v>
      </c>
      <c r="C454" s="1" t="s">
        <v>117</v>
      </c>
      <c r="E454" t="s">
        <v>119</v>
      </c>
      <c r="L454" t="s">
        <v>942</v>
      </c>
      <c r="P454" t="str">
        <f>_xlfn.XLOOKUP("*" &amp; E454 &amp; "*",L:L,L:L, "Not Found in Ohio",2)</f>
        <v>Not Found in Ohio</v>
      </c>
      <c r="Q454" s="3"/>
      <c r="R454" s="3"/>
      <c r="S454" t="str">
        <f t="shared" si="21"/>
        <v>Pseudopanurgusandrenoides</v>
      </c>
    </row>
    <row r="455" spans="1:19" x14ac:dyDescent="0.35">
      <c r="B455" s="1" t="str">
        <f t="shared" si="22"/>
        <v>Pseudopanurgusandrenoides</v>
      </c>
      <c r="C455" s="1" t="s">
        <v>117</v>
      </c>
      <c r="E455" t="s">
        <v>120</v>
      </c>
      <c r="L455" t="s">
        <v>943</v>
      </c>
      <c r="P455" t="str">
        <f>_xlfn.XLOOKUP("*" &amp; E455 &amp; "*",L:L,L:L, "Not Found in Ohio",2)</f>
        <v>Andrenaandrenoides</v>
      </c>
      <c r="Q455" s="3"/>
      <c r="R455" s="3"/>
      <c r="S455" t="str">
        <f t="shared" si="21"/>
        <v>Pseudopanurguscompositarum</v>
      </c>
    </row>
    <row r="456" spans="1:19" x14ac:dyDescent="0.35">
      <c r="B456" s="1" t="str">
        <f t="shared" si="22"/>
        <v>Pseudopanurguscompositarum</v>
      </c>
      <c r="C456" s="1" t="s">
        <v>117</v>
      </c>
      <c r="E456" t="s">
        <v>121</v>
      </c>
      <c r="L456" t="s">
        <v>944</v>
      </c>
      <c r="P456" t="str">
        <f>_xlfn.XLOOKUP("*" &amp; E456 &amp; "*",L:L,L:L, "Not Found in Ohio",2)</f>
        <v>Pseudopanurguscompositarum</v>
      </c>
      <c r="Q456" s="3"/>
      <c r="R456" s="3"/>
      <c r="S456" t="str">
        <f t="shared" si="21"/>
        <v>Not Found in Michigan</v>
      </c>
    </row>
    <row r="457" spans="1:19" x14ac:dyDescent="0.35">
      <c r="B457" s="1" t="str">
        <f t="shared" si="22"/>
        <v>Pseudopanurguslabrosiformis</v>
      </c>
      <c r="C457" s="1" t="s">
        <v>117</v>
      </c>
      <c r="E457" t="s">
        <v>122</v>
      </c>
      <c r="L457" t="s">
        <v>945</v>
      </c>
      <c r="P457" t="str">
        <f>_xlfn.XLOOKUP("*" &amp; E457 &amp; "*",L:L,L:L, "Not Found in Ohio",2)</f>
        <v>Not Found in Ohio</v>
      </c>
      <c r="Q457" s="3"/>
      <c r="R457" s="3"/>
      <c r="S457" t="str">
        <f t="shared" si="21"/>
        <v>Not Found in Michigan</v>
      </c>
    </row>
    <row r="458" spans="1:19" x14ac:dyDescent="0.35">
      <c r="B458" s="1" t="str">
        <f t="shared" si="22"/>
        <v>Pseudopanurgusrugosus</v>
      </c>
      <c r="C458" s="1" t="s">
        <v>117</v>
      </c>
      <c r="E458" t="s">
        <v>123</v>
      </c>
      <c r="L458" t="s">
        <v>946</v>
      </c>
      <c r="P458" t="str">
        <f>_xlfn.XLOOKUP("*" &amp; E458 &amp; "*",L:L,L:L, "Not Found in Ohio",2)</f>
        <v>Pseudopanurgusrugosus</v>
      </c>
      <c r="Q458" s="3"/>
      <c r="R458" s="3"/>
      <c r="S458" t="str">
        <f t="shared" si="21"/>
        <v>Pseudopanurgusrugosus</v>
      </c>
    </row>
    <row r="459" spans="1:19" x14ac:dyDescent="0.35">
      <c r="L459" t="s">
        <v>947</v>
      </c>
      <c r="P459" t="str">
        <f>_xlfn.XLOOKUP("*" &amp; E459 &amp; "*",L:L,L:L, "Not Found in Ohio",2)</f>
        <v>Ohio Regional Species pool</v>
      </c>
      <c r="Q459" s="3"/>
      <c r="R459" s="3"/>
      <c r="S459" t="str">
        <f t="shared" si="21"/>
        <v>Not Found in Michigan</v>
      </c>
    </row>
    <row r="460" spans="1:19" x14ac:dyDescent="0.35">
      <c r="B460" s="1" t="str">
        <f t="shared" ref="B460:B501" si="23">C460&amp;E460</f>
        <v>Sphecodesantennariae</v>
      </c>
      <c r="C460" s="1" t="s">
        <v>465</v>
      </c>
      <c r="E460" t="s">
        <v>466</v>
      </c>
      <c r="L460" t="s">
        <v>948</v>
      </c>
      <c r="P460" t="str">
        <f>_xlfn.XLOOKUP("*" &amp; E460 &amp; "*",L:L,L:L, "Not Found in Ohio",2)</f>
        <v>Not Found in Ohio</v>
      </c>
      <c r="Q460" s="3"/>
      <c r="R460" s="3"/>
      <c r="S460" t="str">
        <f t="shared" si="21"/>
        <v>Sphecodesaroniae</v>
      </c>
    </row>
    <row r="461" spans="1:19" x14ac:dyDescent="0.35">
      <c r="B461" s="1" t="str">
        <f t="shared" si="23"/>
        <v>Sphecodesaroniae</v>
      </c>
      <c r="C461" s="1" t="s">
        <v>465</v>
      </c>
      <c r="E461" t="s">
        <v>467</v>
      </c>
      <c r="L461" t="s">
        <v>949</v>
      </c>
      <c r="P461" t="str">
        <f>_xlfn.XLOOKUP("*" &amp; E461 &amp; "*",L:L,L:L, "Not Found in Ohio",2)</f>
        <v>Sphecodesaroniae</v>
      </c>
      <c r="Q461" s="3"/>
      <c r="R461" s="3"/>
      <c r="S461" t="str">
        <f t="shared" si="21"/>
        <v>Sphecodesatlantis</v>
      </c>
    </row>
    <row r="462" spans="1:19" x14ac:dyDescent="0.35">
      <c r="B462" s="1" t="str">
        <f t="shared" si="23"/>
        <v>Sphecodesatlantis</v>
      </c>
      <c r="C462" s="1" t="s">
        <v>465</v>
      </c>
      <c r="E462" t="s">
        <v>468</v>
      </c>
      <c r="L462" t="s">
        <v>950</v>
      </c>
      <c r="P462" t="str">
        <f>_xlfn.XLOOKUP("*" &amp; E462 &amp; "*",L:L,L:L, "Not Found in Ohio",2)</f>
        <v>Sphecodesatlantis</v>
      </c>
      <c r="Q462" s="3"/>
      <c r="R462" s="3"/>
      <c r="S462" t="str">
        <f t="shared" si="21"/>
        <v>Sphecodesbanksii</v>
      </c>
    </row>
    <row r="463" spans="1:19" x14ac:dyDescent="0.35">
      <c r="B463" s="1" t="str">
        <f t="shared" si="23"/>
        <v>Sphecodesautumnalis</v>
      </c>
      <c r="C463" s="1" t="s">
        <v>465</v>
      </c>
      <c r="E463" t="s">
        <v>254</v>
      </c>
      <c r="L463" t="s">
        <v>951</v>
      </c>
      <c r="P463" t="str">
        <f>_xlfn.XLOOKUP("*" &amp; E463 &amp; "*",L:L,L:L, "Not Found in Ohio",2)</f>
        <v>Epeolusautumnalis</v>
      </c>
      <c r="Q463" s="3"/>
      <c r="R463" s="3"/>
      <c r="S463" t="str">
        <f t="shared" si="21"/>
        <v>Sphecodesclematidis</v>
      </c>
    </row>
    <row r="464" spans="1:19" x14ac:dyDescent="0.35">
      <c r="B464" s="1" t="str">
        <f t="shared" si="23"/>
        <v>Sphecodesbanksii</v>
      </c>
      <c r="C464" s="1" t="s">
        <v>465</v>
      </c>
      <c r="E464" t="s">
        <v>469</v>
      </c>
      <c r="L464" t="s">
        <v>952</v>
      </c>
      <c r="P464" t="str">
        <f>_xlfn.XLOOKUP("*" &amp; E464 &amp; "*",L:L,L:L, "Not Found in Ohio",2)</f>
        <v>Sphecodesbanksii</v>
      </c>
      <c r="Q464" s="3"/>
      <c r="R464" s="3"/>
      <c r="S464" t="str">
        <f t="shared" si="21"/>
        <v>Sphecodesconfertus</v>
      </c>
    </row>
    <row r="465" spans="2:19" x14ac:dyDescent="0.35">
      <c r="B465" s="1" t="str">
        <f t="shared" si="23"/>
        <v>Sphecodesclematidis</v>
      </c>
      <c r="C465" s="1" t="s">
        <v>465</v>
      </c>
      <c r="E465" t="s">
        <v>470</v>
      </c>
      <c r="L465" t="s">
        <v>953</v>
      </c>
      <c r="P465" t="str">
        <f>_xlfn.XLOOKUP("*" &amp; E465 &amp; "*",L:L,L:L, "Not Found in Ohio",2)</f>
        <v>Sphecodesclematidis</v>
      </c>
      <c r="Q465" s="3"/>
      <c r="R465" s="3"/>
      <c r="S465" t="str">
        <f t="shared" si="21"/>
        <v>Sphecodescoronus</v>
      </c>
    </row>
    <row r="466" spans="2:19" x14ac:dyDescent="0.35">
      <c r="B466" s="1" t="str">
        <f t="shared" si="23"/>
        <v>Sphecodesconfertus</v>
      </c>
      <c r="C466" s="1" t="s">
        <v>465</v>
      </c>
      <c r="E466" t="s">
        <v>471</v>
      </c>
      <c r="L466" t="s">
        <v>954</v>
      </c>
      <c r="P466" t="str">
        <f>_xlfn.XLOOKUP("*" &amp; E466 &amp; "*",L:L,L:L, "Not Found in Ohio",2)</f>
        <v>Sphecodesconfertus</v>
      </c>
      <c r="Q466" s="3"/>
      <c r="R466" s="3"/>
      <c r="S466" t="str">
        <f t="shared" si="21"/>
        <v>Sphecodescressonii</v>
      </c>
    </row>
    <row r="467" spans="2:19" x14ac:dyDescent="0.35">
      <c r="B467" s="1" t="str">
        <f t="shared" si="23"/>
        <v>Sphecodescoronus</v>
      </c>
      <c r="C467" s="1" t="s">
        <v>465</v>
      </c>
      <c r="E467" t="s">
        <v>472</v>
      </c>
      <c r="L467" t="s">
        <v>955</v>
      </c>
      <c r="P467" t="str">
        <f>_xlfn.XLOOKUP("*" &amp; E467 &amp; "*",L:L,L:L, "Not Found in Ohio",2)</f>
        <v>Sphecodescoronus</v>
      </c>
      <c r="Q467" s="3"/>
      <c r="R467" s="3"/>
      <c r="S467" t="str">
        <f t="shared" si="21"/>
        <v>Sphecodesdavisii</v>
      </c>
    </row>
    <row r="468" spans="2:19" x14ac:dyDescent="0.35">
      <c r="B468" s="1" t="str">
        <f t="shared" si="23"/>
        <v>Sphecodescressonii</v>
      </c>
      <c r="C468" s="1" t="s">
        <v>465</v>
      </c>
      <c r="E468" t="s">
        <v>67</v>
      </c>
      <c r="L468" t="s">
        <v>956</v>
      </c>
      <c r="P468" t="str">
        <f>_xlfn.XLOOKUP("*" &amp; E468 &amp; "*",L:L,L:L, "Not Found in Ohio",2)</f>
        <v>Andrenacressonii</v>
      </c>
      <c r="Q468" s="3"/>
      <c r="R468" s="3"/>
      <c r="S468" t="str">
        <f t="shared" si="21"/>
        <v>Sphecodesdichrous</v>
      </c>
    </row>
    <row r="469" spans="2:19" x14ac:dyDescent="0.35">
      <c r="B469" s="1" t="str">
        <f t="shared" si="23"/>
        <v>Sphecodesdavisii</v>
      </c>
      <c r="C469" s="1" t="s">
        <v>465</v>
      </c>
      <c r="E469" t="s">
        <v>473</v>
      </c>
      <c r="L469" t="s">
        <v>957</v>
      </c>
      <c r="P469" t="str">
        <f>_xlfn.XLOOKUP("*" &amp; E469 &amp; "*",L:L,L:L, "Not Found in Ohio",2)</f>
        <v>Sphecodesdavisii</v>
      </c>
      <c r="Q469" s="3"/>
      <c r="R469" s="3"/>
      <c r="S469" t="str">
        <f t="shared" si="21"/>
        <v>Sphecodesheraclei</v>
      </c>
    </row>
    <row r="470" spans="2:19" x14ac:dyDescent="0.35">
      <c r="B470" s="1" t="str">
        <f t="shared" si="23"/>
        <v>Sphecodesdichrous</v>
      </c>
      <c r="C470" s="1" t="s">
        <v>465</v>
      </c>
      <c r="E470" t="s">
        <v>474</v>
      </c>
      <c r="L470" t="s">
        <v>958</v>
      </c>
      <c r="P470" t="str">
        <f>_xlfn.XLOOKUP("*" &amp; E470 &amp; "*",L:L,L:L, "Not Found in Ohio",2)</f>
        <v>Sphecodesdichrous</v>
      </c>
      <c r="Q470" s="3"/>
      <c r="R470" s="3"/>
      <c r="S470" t="str">
        <f t="shared" si="21"/>
        <v>Sphecodeslevis</v>
      </c>
    </row>
    <row r="471" spans="2:19" x14ac:dyDescent="0.35">
      <c r="B471" s="1" t="str">
        <f t="shared" si="23"/>
        <v>Sphecodesfattigi</v>
      </c>
      <c r="C471" s="1" t="s">
        <v>465</v>
      </c>
      <c r="E471" t="s">
        <v>400</v>
      </c>
      <c r="L471" t="s">
        <v>959</v>
      </c>
      <c r="P471" t="str">
        <f>_xlfn.XLOOKUP("*" &amp; E471 &amp; "*",L:L,L:L, "Not Found in Ohio",2)</f>
        <v>Not Found in Ohio</v>
      </c>
      <c r="Q471" s="3"/>
      <c r="R471" s="3"/>
      <c r="S471" t="str">
        <f t="shared" si="21"/>
        <v>Sphecodesmandibularis</v>
      </c>
    </row>
    <row r="472" spans="2:19" x14ac:dyDescent="0.35">
      <c r="B472" s="1" t="str">
        <f t="shared" si="23"/>
        <v>Sphecodesheraclei</v>
      </c>
      <c r="C472" s="1" t="s">
        <v>465</v>
      </c>
      <c r="D472" t="s">
        <v>188</v>
      </c>
      <c r="E472" t="s">
        <v>188</v>
      </c>
      <c r="L472" t="s">
        <v>960</v>
      </c>
      <c r="P472" t="str">
        <f>_xlfn.XLOOKUP("*" &amp; E472 &amp; "*",L:L,L:L, "Not Found in Ohio",2)</f>
        <v>Andrenaheraclei</v>
      </c>
      <c r="Q472" s="3"/>
      <c r="R472" s="3"/>
      <c r="S472" t="str">
        <f t="shared" si="21"/>
        <v>Sphecodesminor</v>
      </c>
    </row>
    <row r="473" spans="2:19" x14ac:dyDescent="0.35">
      <c r="B473" s="1" t="str">
        <f t="shared" si="23"/>
        <v>Sphecodesillinoensis</v>
      </c>
      <c r="C473" s="1" t="s">
        <v>465</v>
      </c>
      <c r="E473" t="s">
        <v>289</v>
      </c>
      <c r="L473" t="s">
        <v>961</v>
      </c>
      <c r="P473" t="str">
        <f>_xlfn.XLOOKUP("*" &amp; E473 &amp; "*",L:L,L:L, "Not Found in Ohio",2)</f>
        <v>Nomadaillinoensis</v>
      </c>
      <c r="Q473" s="3"/>
      <c r="R473" s="3"/>
      <c r="S473" t="str">
        <f t="shared" si="21"/>
        <v>Sphecodespimpinellae</v>
      </c>
    </row>
    <row r="474" spans="2:19" x14ac:dyDescent="0.35">
      <c r="B474" s="1" t="str">
        <f t="shared" si="23"/>
        <v>Sphecodesjohnsonii</v>
      </c>
      <c r="C474" s="1" t="s">
        <v>465</v>
      </c>
      <c r="E474" t="s">
        <v>475</v>
      </c>
      <c r="L474" t="s">
        <v>962</v>
      </c>
      <c r="P474" t="str">
        <f>_xlfn.XLOOKUP("*" &amp; E474 &amp; "*",L:L,L:L, "Not Found in Ohio",2)</f>
        <v>Not Found in Ohio</v>
      </c>
      <c r="Q474" s="3"/>
      <c r="R474" s="3"/>
      <c r="S474" t="str">
        <f t="shared" si="21"/>
        <v>Sphecodesprosphorus</v>
      </c>
    </row>
    <row r="475" spans="2:19" x14ac:dyDescent="0.35">
      <c r="B475" s="1" t="str">
        <f t="shared" si="23"/>
        <v>Sphecodeslevis</v>
      </c>
      <c r="C475" s="1" t="s">
        <v>465</v>
      </c>
      <c r="E475" t="s">
        <v>476</v>
      </c>
      <c r="L475" t="s">
        <v>963</v>
      </c>
      <c r="P475" t="str">
        <f>_xlfn.XLOOKUP("*" &amp; E475 &amp; "*",L:L,L:L, "Not Found in Ohio",2)</f>
        <v>Sphecodeslevis</v>
      </c>
      <c r="Q475" s="3"/>
      <c r="R475" s="3"/>
      <c r="S475" t="str">
        <f t="shared" si="21"/>
        <v>Sphecodesranunculi</v>
      </c>
    </row>
    <row r="476" spans="2:19" x14ac:dyDescent="0.35">
      <c r="B476" s="1" t="str">
        <f t="shared" si="23"/>
        <v>Sphecodesmandibularis</v>
      </c>
      <c r="C476" s="1" t="s">
        <v>465</v>
      </c>
      <c r="E476" t="s">
        <v>33</v>
      </c>
      <c r="P476" t="str">
        <f>_xlfn.XLOOKUP("*" &amp; E476 &amp; "*",L:L,L:L, "Not Found in Ohio",2)</f>
        <v>Andrenamandibularis</v>
      </c>
      <c r="Q476" s="3"/>
      <c r="R476" s="3"/>
      <c r="S476" t="str">
        <f t="shared" si="21"/>
        <v>Genus and species</v>
      </c>
    </row>
    <row r="477" spans="2:19" x14ac:dyDescent="0.35">
      <c r="B477" s="1" t="str">
        <f t="shared" si="23"/>
        <v>Sphecodesminor</v>
      </c>
      <c r="C477" s="1" t="s">
        <v>465</v>
      </c>
      <c r="E477" t="s">
        <v>477</v>
      </c>
      <c r="P477" t="str">
        <f>_xlfn.XLOOKUP("*" &amp; E477 &amp; "*",L:L,L:L, "Not Found in Ohio",2)</f>
        <v>Sphecodesminor</v>
      </c>
      <c r="Q477" s="3"/>
      <c r="R477" s="3"/>
      <c r="S477" t="str">
        <f t="shared" si="21"/>
        <v>Genus and species</v>
      </c>
    </row>
    <row r="478" spans="2:19" x14ac:dyDescent="0.35">
      <c r="B478" s="1" t="str">
        <f t="shared" si="23"/>
        <v>Sphecodespimpinellae</v>
      </c>
      <c r="C478" s="1" t="s">
        <v>465</v>
      </c>
      <c r="E478" t="s">
        <v>478</v>
      </c>
      <c r="P478" t="str">
        <f>_xlfn.XLOOKUP("*" &amp; E478 &amp; "*",L:L,L:L, "Not Found in Ohio",2)</f>
        <v>Sphecodespimpinellae</v>
      </c>
      <c r="Q478" s="3"/>
      <c r="R478" s="3"/>
      <c r="S478" t="str">
        <f t="shared" si="21"/>
        <v>Genus and species</v>
      </c>
    </row>
    <row r="479" spans="2:19" x14ac:dyDescent="0.35">
      <c r="B479" s="1" t="str">
        <f t="shared" si="23"/>
        <v>Sphecodesprosphorus</v>
      </c>
      <c r="C479" s="1" t="s">
        <v>465</v>
      </c>
      <c r="E479" t="s">
        <v>479</v>
      </c>
      <c r="P479" t="str">
        <f>_xlfn.XLOOKUP("*" &amp; E479 &amp; "*",L:L,L:L, "Not Found in Ohio",2)</f>
        <v>Sphecodesprosphorus</v>
      </c>
      <c r="Q479" s="3"/>
      <c r="R479" s="3"/>
      <c r="S479" t="str">
        <f t="shared" si="21"/>
        <v>Genus and species</v>
      </c>
    </row>
    <row r="480" spans="2:19" x14ac:dyDescent="0.35">
      <c r="B480" s="1" t="str">
        <f t="shared" si="23"/>
        <v>Sphecodespycnanthemi</v>
      </c>
      <c r="C480" s="1" t="s">
        <v>465</v>
      </c>
      <c r="E480" t="s">
        <v>480</v>
      </c>
      <c r="P480" t="str">
        <f>_xlfn.XLOOKUP("*" &amp; E480 &amp; "*",L:L,L:L, "Not Found in Ohio",2)</f>
        <v>Not Found in Ohio</v>
      </c>
      <c r="Q480" s="3"/>
      <c r="R480" s="3"/>
      <c r="S480" t="str">
        <f t="shared" si="21"/>
        <v>Genus and species</v>
      </c>
    </row>
    <row r="481" spans="2:19" x14ac:dyDescent="0.35">
      <c r="B481" s="1" t="str">
        <f t="shared" si="23"/>
        <v>Sphecodesranunculi</v>
      </c>
      <c r="C481" s="1" t="s">
        <v>465</v>
      </c>
      <c r="E481" t="s">
        <v>481</v>
      </c>
      <c r="P481" t="str">
        <f>_xlfn.XLOOKUP("*" &amp; E481 &amp; "*",L:L,L:L, "Not Found in Ohio",2)</f>
        <v>Sphecodesranunculi</v>
      </c>
      <c r="Q481" s="3"/>
      <c r="R481" s="3"/>
      <c r="S481" t="str">
        <f t="shared" si="21"/>
        <v>Genus and species</v>
      </c>
    </row>
    <row r="482" spans="2:19" x14ac:dyDescent="0.35">
      <c r="B482" s="1" t="str">
        <f t="shared" si="23"/>
        <v>Sphecodestownesi</v>
      </c>
      <c r="C482" s="1" t="s">
        <v>465</v>
      </c>
      <c r="E482" t="s">
        <v>482</v>
      </c>
      <c r="P482" t="str">
        <f>_xlfn.XLOOKUP("*" &amp; E482 &amp; "*",L:L,L:L, "Not Found in Ohio",2)</f>
        <v>Not Found in Ohio</v>
      </c>
      <c r="Q482" s="3"/>
      <c r="R482" s="3"/>
      <c r="S482" t="str">
        <f t="shared" si="21"/>
        <v>Genus and species</v>
      </c>
    </row>
    <row r="483" spans="2:19" x14ac:dyDescent="0.35">
      <c r="B483" s="1" t="str">
        <f t="shared" si="23"/>
        <v>Stelislouisae</v>
      </c>
      <c r="C483" t="s">
        <v>504</v>
      </c>
      <c r="D483" t="s">
        <v>505</v>
      </c>
      <c r="E483" t="s">
        <v>506</v>
      </c>
      <c r="L483" t="s">
        <v>964</v>
      </c>
      <c r="P483" t="str">
        <f>_xlfn.XLOOKUP("*" &amp; E483 &amp; "*",L:L,L:L, "Not Found in Ohio",2)</f>
        <v>Stelislouisae</v>
      </c>
      <c r="Q483" s="3"/>
      <c r="R483" s="3"/>
      <c r="S483" t="str">
        <f t="shared" si="21"/>
        <v>Steliscoarctatus</v>
      </c>
    </row>
    <row r="484" spans="2:19" x14ac:dyDescent="0.35">
      <c r="B484" s="1" t="str">
        <f t="shared" si="23"/>
        <v>Steliscoarctatus</v>
      </c>
      <c r="C484" t="s">
        <v>504</v>
      </c>
      <c r="D484" t="s">
        <v>507</v>
      </c>
      <c r="E484" t="s">
        <v>508</v>
      </c>
      <c r="L484" t="s">
        <v>965</v>
      </c>
      <c r="P484" t="str">
        <f>_xlfn.XLOOKUP("*" &amp; E484 &amp; "*",L:L,L:L, "Not Found in Ohio",2)</f>
        <v>Steliscoarctatus</v>
      </c>
      <c r="Q484" s="3"/>
      <c r="R484" s="3"/>
      <c r="S484" t="str">
        <f t="shared" si="21"/>
        <v>Stelislateralis</v>
      </c>
    </row>
    <row r="485" spans="2:19" x14ac:dyDescent="0.35">
      <c r="B485" s="1" t="str">
        <f t="shared" si="23"/>
        <v>Stelisfoederalis</v>
      </c>
      <c r="C485" t="s">
        <v>504</v>
      </c>
      <c r="D485" t="s">
        <v>507</v>
      </c>
      <c r="E485" t="s">
        <v>509</v>
      </c>
      <c r="L485" t="s">
        <v>966</v>
      </c>
      <c r="P485" t="str">
        <f>_xlfn.XLOOKUP("*" &amp; E485 &amp; "*",L:L,L:L, "Not Found in Ohio",2)</f>
        <v>Not Found in Ohio</v>
      </c>
      <c r="Q485" s="3"/>
      <c r="R485" s="3"/>
      <c r="S485" t="str">
        <f t="shared" si="21"/>
        <v>Stelislouisae</v>
      </c>
    </row>
    <row r="486" spans="2:19" x14ac:dyDescent="0.35">
      <c r="B486" s="1" t="str">
        <f t="shared" si="23"/>
        <v>Stelislabiata</v>
      </c>
      <c r="C486" t="s">
        <v>504</v>
      </c>
      <c r="D486" t="s">
        <v>507</v>
      </c>
      <c r="E486" t="s">
        <v>510</v>
      </c>
      <c r="L486" t="s">
        <v>967</v>
      </c>
      <c r="P486" t="str">
        <f>_xlfn.XLOOKUP("*" &amp; E486 &amp; "*",L:L,L:L, "Not Found in Ohio",2)</f>
        <v>Not Found in Ohio</v>
      </c>
      <c r="Q486" s="3"/>
      <c r="R486" s="3"/>
      <c r="S486" t="str">
        <f t="shared" si="21"/>
        <v>Stelisnitida</v>
      </c>
    </row>
    <row r="487" spans="2:19" x14ac:dyDescent="0.35">
      <c r="B487" s="1" t="str">
        <f t="shared" si="23"/>
        <v>Stelislateralis</v>
      </c>
      <c r="C487" t="s">
        <v>504</v>
      </c>
      <c r="D487" t="s">
        <v>507</v>
      </c>
      <c r="E487" t="s">
        <v>511</v>
      </c>
      <c r="P487" t="str">
        <f>_xlfn.XLOOKUP("*" &amp; E487 &amp; "*",L:L,L:L, "Not Found in Ohio",2)</f>
        <v>Stelislateralis</v>
      </c>
      <c r="Q487" s="3"/>
      <c r="R487" s="3"/>
      <c r="S487" t="str">
        <f t="shared" si="21"/>
        <v>Genus and species</v>
      </c>
    </row>
    <row r="488" spans="2:19" x14ac:dyDescent="0.35">
      <c r="B488" s="1" t="str">
        <f t="shared" si="23"/>
        <v>Stelisnitida</v>
      </c>
      <c r="C488" t="s">
        <v>504</v>
      </c>
      <c r="D488" t="s">
        <v>507</v>
      </c>
      <c r="E488" t="s">
        <v>512</v>
      </c>
      <c r="P488" t="str">
        <f>_xlfn.XLOOKUP("*" &amp; E488 &amp; "*",L:L,L:L, "Not Found in Ohio",2)</f>
        <v>Stelisnitida</v>
      </c>
      <c r="Q488" s="3"/>
      <c r="R488" s="3"/>
      <c r="S488" t="str">
        <f t="shared" si="21"/>
        <v>Genus and species</v>
      </c>
    </row>
    <row r="489" spans="2:19" x14ac:dyDescent="0.35">
      <c r="B489" s="1" t="str">
        <f t="shared" si="23"/>
        <v>Stelissubemarginata</v>
      </c>
      <c r="C489" t="s">
        <v>504</v>
      </c>
      <c r="D489" t="s">
        <v>507</v>
      </c>
      <c r="E489" t="s">
        <v>513</v>
      </c>
      <c r="P489" t="str">
        <f>_xlfn.XLOOKUP("*" &amp; E489 &amp; "*",L:L,L:L, "Not Found in Ohio",2)</f>
        <v>Not Found in Ohio</v>
      </c>
      <c r="Q489" s="3"/>
      <c r="R489" s="3"/>
      <c r="S489" t="str">
        <f t="shared" si="21"/>
        <v>Genus and species</v>
      </c>
    </row>
    <row r="490" spans="2:19" x14ac:dyDescent="0.35">
      <c r="B490" s="1" t="str">
        <f t="shared" si="23"/>
        <v>Svastraobliqua</v>
      </c>
      <c r="C490" s="1" t="s">
        <v>246</v>
      </c>
      <c r="D490" t="s">
        <v>247</v>
      </c>
      <c r="E490" t="s">
        <v>248</v>
      </c>
      <c r="F490" t="s">
        <v>248</v>
      </c>
      <c r="L490" t="s">
        <v>968</v>
      </c>
      <c r="P490" t="str">
        <f>_xlfn.XLOOKUP("*" &amp; E490 &amp; "*",L:L,L:L, "Not Found in Ohio",2)</f>
        <v>Svastraobliqua</v>
      </c>
      <c r="Q490" s="3"/>
      <c r="R490" s="3"/>
      <c r="S490" t="str">
        <f t="shared" si="21"/>
        <v>Svastraobliqua</v>
      </c>
    </row>
    <row r="491" spans="2:19" x14ac:dyDescent="0.35">
      <c r="B491" s="1" t="str">
        <f t="shared" si="23"/>
        <v>Trachusazebrata</v>
      </c>
      <c r="C491" t="s">
        <v>514</v>
      </c>
      <c r="D491" t="s">
        <v>515</v>
      </c>
      <c r="E491" t="s">
        <v>516</v>
      </c>
      <c r="P491" t="str">
        <f>_xlfn.XLOOKUP("*" &amp; E491 &amp; "*",L:L,L:L, "Not Found in Ohio",2)</f>
        <v>Not Found in Ohio</v>
      </c>
      <c r="Q491" s="3"/>
      <c r="R491" s="3"/>
      <c r="S491" t="str">
        <f t="shared" si="21"/>
        <v>Genus and species</v>
      </c>
    </row>
    <row r="492" spans="2:19" x14ac:dyDescent="0.35">
      <c r="B492" s="1" t="str">
        <f t="shared" si="23"/>
        <v>Triepeolusconcavus</v>
      </c>
      <c r="C492" s="1" t="s">
        <v>260</v>
      </c>
      <c r="E492" t="s">
        <v>261</v>
      </c>
      <c r="L492" t="s">
        <v>969</v>
      </c>
      <c r="P492" t="str">
        <f>_xlfn.XLOOKUP("*" &amp; E492 &amp; "*",L:L,L:L, "Not Found in Ohio",2)</f>
        <v>Not Found in Ohio</v>
      </c>
      <c r="Q492" s="3"/>
      <c r="R492" s="3"/>
      <c r="S492" t="str">
        <f t="shared" si="21"/>
        <v>Triepeolusdonatus</v>
      </c>
    </row>
    <row r="493" spans="2:19" x14ac:dyDescent="0.35">
      <c r="B493" s="1" t="str">
        <f t="shared" si="23"/>
        <v>Triepeoluscressonii</v>
      </c>
      <c r="C493" s="1" t="s">
        <v>260</v>
      </c>
      <c r="E493" t="s">
        <v>67</v>
      </c>
      <c r="L493" t="s">
        <v>970</v>
      </c>
      <c r="P493" t="str">
        <f>_xlfn.XLOOKUP("*" &amp; E493 &amp; "*",L:L,L:L, "Not Found in Ohio",2)</f>
        <v>Andrenacressonii</v>
      </c>
      <c r="Q493" s="3"/>
      <c r="R493" s="3"/>
      <c r="S493" t="str">
        <f t="shared" si="21"/>
        <v>Triepeoluslunatus</v>
      </c>
    </row>
    <row r="494" spans="2:19" x14ac:dyDescent="0.35">
      <c r="B494" s="1" t="str">
        <f t="shared" si="23"/>
        <v>Triepeolusdonatus</v>
      </c>
      <c r="C494" s="1" t="s">
        <v>260</v>
      </c>
      <c r="E494" t="s">
        <v>262</v>
      </c>
      <c r="L494" t="s">
        <v>971</v>
      </c>
      <c r="P494" t="str">
        <f>_xlfn.XLOOKUP("*" &amp; E494 &amp; "*",L:L,L:L, "Not Found in Ohio",2)</f>
        <v>Triepeolusdonatus</v>
      </c>
      <c r="Q494" s="3"/>
      <c r="R494" s="3"/>
      <c r="S494" t="str">
        <f t="shared" si="21"/>
        <v>Triepeoluspectoralis</v>
      </c>
    </row>
    <row r="495" spans="2:19" x14ac:dyDescent="0.35">
      <c r="B495" s="1" t="str">
        <f t="shared" si="23"/>
        <v>Triepeoluseliseae</v>
      </c>
      <c r="C495" s="1" t="s">
        <v>260</v>
      </c>
      <c r="E495" t="s">
        <v>263</v>
      </c>
      <c r="L495" t="s">
        <v>972</v>
      </c>
      <c r="P495" t="str">
        <f>_xlfn.XLOOKUP("*" &amp; E495 &amp; "*",L:L,L:L, "Not Found in Ohio",2)</f>
        <v>Not Found in Ohio</v>
      </c>
      <c r="Q495" s="3"/>
      <c r="R495" s="3"/>
      <c r="S495" t="str">
        <f t="shared" si="21"/>
        <v>Triepeolusremigatus</v>
      </c>
    </row>
    <row r="496" spans="2:19" x14ac:dyDescent="0.35">
      <c r="B496" s="1" t="str">
        <f t="shared" si="23"/>
        <v>Triepeolushelianthi</v>
      </c>
      <c r="C496" s="1" t="s">
        <v>260</v>
      </c>
      <c r="E496" t="s">
        <v>41</v>
      </c>
      <c r="L496" t="s">
        <v>973</v>
      </c>
      <c r="P496" t="str">
        <f>_xlfn.XLOOKUP("*" &amp; E496 &amp; "*",L:L,L:L, "Not Found in Ohio",2)</f>
        <v>Andrenahelianthi</v>
      </c>
      <c r="Q496" s="3"/>
      <c r="R496" s="3"/>
      <c r="S496" t="str">
        <f t="shared" si="21"/>
        <v>Triepeolussimplex</v>
      </c>
    </row>
    <row r="497" spans="1:19" x14ac:dyDescent="0.35">
      <c r="B497" s="1" t="str">
        <f t="shared" si="23"/>
        <v>Triepeoluslunatus</v>
      </c>
      <c r="C497" s="1" t="s">
        <v>260</v>
      </c>
      <c r="E497" t="s">
        <v>265</v>
      </c>
      <c r="F497" t="s">
        <v>264</v>
      </c>
      <c r="P497" t="str">
        <f>_xlfn.XLOOKUP("*" &amp; E497 &amp; "*",L:L,L:L, "Not Found in Ohio",2)</f>
        <v>Triepeoluslunatus</v>
      </c>
      <c r="Q497" s="3"/>
      <c r="R497" s="3"/>
      <c r="S497" t="str">
        <f t="shared" si="21"/>
        <v>Genus and species</v>
      </c>
    </row>
    <row r="498" spans="1:19" x14ac:dyDescent="0.35">
      <c r="B498" s="1" t="str">
        <f t="shared" si="23"/>
        <v>Triepeolusmichiganensis</v>
      </c>
      <c r="C498" s="1" t="s">
        <v>260</v>
      </c>
      <c r="E498" t="s">
        <v>266</v>
      </c>
      <c r="P498" t="str">
        <f>_xlfn.XLOOKUP("*" &amp; E498 &amp; "*",L:L,L:L, "Not Found in Ohio",2)</f>
        <v>Not Found in Ohio</v>
      </c>
      <c r="Q498" s="3"/>
      <c r="R498" s="3"/>
      <c r="S498" t="str">
        <f t="shared" si="21"/>
        <v>Genus and species</v>
      </c>
    </row>
    <row r="499" spans="1:19" x14ac:dyDescent="0.35">
      <c r="B499" s="1" t="str">
        <f t="shared" si="23"/>
        <v>Triepeoluspectoralis</v>
      </c>
      <c r="C499" s="2" t="s">
        <v>260</v>
      </c>
      <c r="E499" t="s">
        <v>267</v>
      </c>
      <c r="P499" t="str">
        <f>_xlfn.XLOOKUP("*" &amp; E499 &amp; "*",L:L,L:L, "Not Found in Ohio",2)</f>
        <v>Triepeoluspectoralis</v>
      </c>
      <c r="Q499" s="3"/>
      <c r="R499" s="3"/>
      <c r="S499" t="str">
        <f t="shared" si="21"/>
        <v>Genus and species</v>
      </c>
    </row>
    <row r="500" spans="1:19" x14ac:dyDescent="0.35">
      <c r="B500" s="1" t="str">
        <f t="shared" si="23"/>
        <v>Triepeolusremigatus</v>
      </c>
      <c r="C500" s="1" t="s">
        <v>260</v>
      </c>
      <c r="E500" t="s">
        <v>268</v>
      </c>
      <c r="P500" t="str">
        <f>_xlfn.XLOOKUP("*" &amp; E500 &amp; "*",L:L,L:L, "Not Found in Ohio",2)</f>
        <v>Triepeolusremigatus</v>
      </c>
      <c r="Q500" s="3"/>
      <c r="R500" s="3"/>
      <c r="S500" t="str">
        <f t="shared" si="21"/>
        <v>Genus and species</v>
      </c>
    </row>
    <row r="501" spans="1:19" x14ac:dyDescent="0.35">
      <c r="B501" s="1" t="str">
        <f t="shared" si="23"/>
        <v>Triepeolussimplex</v>
      </c>
      <c r="C501" s="1" t="s">
        <v>260</v>
      </c>
      <c r="E501" t="s">
        <v>45</v>
      </c>
      <c r="P501" t="str">
        <f>_xlfn.XLOOKUP("*" &amp; E501 &amp; "*",L:L,L:L, "Not Found in Ohio",2)</f>
        <v>Andrenasimplex</v>
      </c>
      <c r="Q501" s="3"/>
      <c r="R501" s="3"/>
      <c r="S501" t="str">
        <f t="shared" si="21"/>
        <v>Genus and species</v>
      </c>
    </row>
    <row r="502" spans="1:19" x14ac:dyDescent="0.35">
      <c r="L502" t="s">
        <v>974</v>
      </c>
      <c r="P502" t="str">
        <f>_xlfn.XLOOKUP("*" &amp; E502 &amp; "*",L:L,L:L, "Not Found in Ohio",2)</f>
        <v>Ohio Regional Species pool</v>
      </c>
      <c r="Q502" s="3"/>
      <c r="R502" s="3"/>
      <c r="S502" t="str">
        <f t="shared" si="21"/>
        <v>Not Found in Michigan</v>
      </c>
    </row>
    <row r="503" spans="1:19" x14ac:dyDescent="0.35">
      <c r="A503" s="1" t="s">
        <v>8</v>
      </c>
      <c r="B503" s="1" t="str">
        <f>C503&amp;E503</f>
        <v>Xylocopavirginica</v>
      </c>
      <c r="C503" s="1" t="s">
        <v>318</v>
      </c>
      <c r="D503" t="s">
        <v>319</v>
      </c>
      <c r="E503" t="s">
        <v>320</v>
      </c>
      <c r="F503" t="s">
        <v>320</v>
      </c>
      <c r="L503" t="s">
        <v>975</v>
      </c>
      <c r="P503" t="str">
        <f>_xlfn.XLOOKUP("*" &amp; E503 &amp; "*",L:L,L:L, "Not Found in Ohio",2)</f>
        <v>Xylocopavirginica</v>
      </c>
      <c r="Q503" s="3"/>
      <c r="R503" s="3"/>
      <c r="S503" t="str">
        <f t="shared" si="21"/>
        <v>Xylocopavirginica</v>
      </c>
    </row>
    <row r="504" spans="1:19" x14ac:dyDescent="0.35">
      <c r="P504" t="str">
        <f>_xlfn.XLOOKUP("*" &amp; E504 &amp; "*",L:L,L:L, "Not Found in Ohio",2)</f>
        <v>Ohio Regional Species pool</v>
      </c>
      <c r="Q504" s="3"/>
      <c r="R504" s="3"/>
      <c r="S504" t="str">
        <f t="shared" si="21"/>
        <v>Genus and species</v>
      </c>
    </row>
    <row r="505" spans="1:19" x14ac:dyDescent="0.35">
      <c r="A505" s="1" t="s">
        <v>1</v>
      </c>
      <c r="B505" s="1" t="str">
        <f t="shared" ref="B505:B508" si="24">C505&amp;E505</f>
        <v/>
      </c>
      <c r="P505" t="str">
        <f>_xlfn.XLOOKUP("*" &amp; E505 &amp; "*",L:L,L:L, "Not Found in Ohio",2)</f>
        <v>Ohio Regional Species pool</v>
      </c>
      <c r="Q505" s="3"/>
      <c r="R505" s="3"/>
      <c r="S505" t="str">
        <f t="shared" si="21"/>
        <v>Genus and species</v>
      </c>
    </row>
    <row r="506" spans="1:19" x14ac:dyDescent="0.35">
      <c r="A506" s="1" t="s">
        <v>6</v>
      </c>
      <c r="B506" s="1" t="str">
        <f t="shared" si="24"/>
        <v/>
      </c>
      <c r="P506" t="str">
        <f>_xlfn.XLOOKUP("*" &amp; E506 &amp; "*",L:L,L:L, "Not Found in Ohio",2)</f>
        <v>Ohio Regional Species pool</v>
      </c>
      <c r="Q506" s="3"/>
      <c r="R506" s="3"/>
      <c r="S506" t="str">
        <f t="shared" si="21"/>
        <v>Genus and species</v>
      </c>
    </row>
    <row r="507" spans="1:19" x14ac:dyDescent="0.35">
      <c r="A507" s="1" t="s">
        <v>18</v>
      </c>
      <c r="B507" s="1" t="str">
        <f t="shared" si="24"/>
        <v/>
      </c>
    </row>
    <row r="508" spans="1:19" x14ac:dyDescent="0.35">
      <c r="A508" s="1" t="s">
        <v>19</v>
      </c>
      <c r="B508" s="1" t="str">
        <f t="shared" si="24"/>
        <v/>
      </c>
    </row>
  </sheetData>
  <autoFilter ref="A1:K508" xr:uid="{B92791EA-06E4-452C-960F-523168945C8B}">
    <sortState xmlns:xlrd2="http://schemas.microsoft.com/office/spreadsheetml/2017/richdata2" ref="A6:K104">
      <sortCondition ref="E1:E5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Shepard, Caralee</dc:creator>
  <cp:lastModifiedBy>Shepard, Caralee</cp:lastModifiedBy>
  <dcterms:created xsi:type="dcterms:W3CDTF">2026-05-19T15:02:15Z</dcterms:created>
  <dcterms:modified xsi:type="dcterms:W3CDTF">2026-05-19T18:59:37Z</dcterms:modified>
</cp:coreProperties>
</file>